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8_{19BC8DB8-294C-4565-B6F9-91D7000288C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Regression Analysis" sheetId="1" r:id="rId1"/>
  </sheets>
  <calcPr calcId="0"/>
</workbook>
</file>

<file path=xl/sharedStrings.xml><?xml version="1.0" encoding="utf-8"?>
<sst xmlns="http://schemas.openxmlformats.org/spreadsheetml/2006/main" count="207" uniqueCount="136">
  <si>
    <t>REGRESSION ANALYSIS — GDP Growth (Y) on Gross Domestic Savings % GDP (X)</t>
  </si>
  <si>
    <t>India | 1990–91 to 2023–24  (N = 34 Observations) | Estimated Equation: Y = β₀ + β₁X + ε</t>
  </si>
  <si>
    <t>SECTION A — DATA</t>
  </si>
  <si>
    <t>SECTION B — SUMMARY STATISTICS</t>
  </si>
  <si>
    <t>SECTION E — RESIDUALS</t>
  </si>
  <si>
    <t>Year / Items</t>
  </si>
  <si>
    <t>Time (t)</t>
  </si>
  <si>
    <t>Y
GDP Growth Rate (%)</t>
  </si>
  <si>
    <t>X
Gross Domestic Savings (% GDP)</t>
  </si>
  <si>
    <t>Variable</t>
  </si>
  <si>
    <t>Obs</t>
  </si>
  <si>
    <t>Mean</t>
  </si>
  <si>
    <t>Std. Dev.</t>
  </si>
  <si>
    <t>Min</t>
  </si>
  <si>
    <t>Max</t>
  </si>
  <si>
    <t>Year</t>
  </si>
  <si>
    <t>Y (actual)</t>
  </si>
  <si>
    <t>Ŷ (fitted)</t>
  </si>
  <si>
    <t>e = Y−Ŷ</t>
  </si>
  <si>
    <t>e²</t>
  </si>
  <si>
    <t>Sign</t>
  </si>
  <si>
    <t>1990-91</t>
  </si>
  <si>
    <t>t (Time)</t>
  </si>
  <si>
    <t>+</t>
  </si>
  <si>
    <t>1991-92</t>
  </si>
  <si>
    <t>Y (GDP Growth %)</t>
  </si>
  <si>
    <t>−</t>
  </si>
  <si>
    <t>1992-93</t>
  </si>
  <si>
    <t>X (Gross Dom. Savings %)</t>
  </si>
  <si>
    <t>1993-94</t>
  </si>
  <si>
    <t>1994-95</t>
  </si>
  <si>
    <t>SECTION C — OLS REGRESSION RESULTS  (reg y x)</t>
  </si>
  <si>
    <t>1995-96</t>
  </si>
  <si>
    <t>ANOVA Table</t>
  </si>
  <si>
    <t>1996-97</t>
  </si>
  <si>
    <t>Source</t>
  </si>
  <si>
    <t>SS</t>
  </si>
  <si>
    <t>df</t>
  </si>
  <si>
    <t>MS</t>
  </si>
  <si>
    <t>Num obs</t>
  </si>
  <si>
    <t>F(1,32)</t>
  </si>
  <si>
    <t>Prob &gt; F</t>
  </si>
  <si>
    <t>1997-98</t>
  </si>
  <si>
    <t>Model</t>
  </si>
  <si>
    <t>1998-99</t>
  </si>
  <si>
    <t>Residual</t>
  </si>
  <si>
    <t>1999-00</t>
  </si>
  <si>
    <t>Total</t>
  </si>
  <si>
    <t>2000-01</t>
  </si>
  <si>
    <t>2001-02</t>
  </si>
  <si>
    <t>Coefficient Estimates</t>
  </si>
  <si>
    <t>2002-03</t>
  </si>
  <si>
    <t>Coefficient</t>
  </si>
  <si>
    <t>Std. Err.</t>
  </si>
  <si>
    <t>t</t>
  </si>
  <si>
    <t>P&gt;|t|</t>
  </si>
  <si>
    <t>[95% Conf.</t>
  </si>
  <si>
    <t>Interval]</t>
  </si>
  <si>
    <t>2003-04</t>
  </si>
  <si>
    <t>x (Savings)</t>
  </si>
  <si>
    <t>2004-05</t>
  </si>
  <si>
    <t>_cons</t>
  </si>
  <si>
    <t>2005-06</t>
  </si>
  <si>
    <t>Estimated Equation:  Ŷ = -0.4871 + 0.2324·X    →   A 1% rise in Gross Domestic Savings raises GDP Growth by 0.2324%</t>
  </si>
  <si>
    <t>2006-07</t>
  </si>
  <si>
    <t>2007-08</t>
  </si>
  <si>
    <t>SECTION D — DIAGNOSTIC TESTS</t>
  </si>
  <si>
    <t>2008-09</t>
  </si>
  <si>
    <t>D1: Normality of Residuals — Jarque-Bera Test</t>
  </si>
  <si>
    <t>2009-10</t>
  </si>
  <si>
    <t>Skewness of residuals:</t>
  </si>
  <si>
    <t>2010-11</t>
  </si>
  <si>
    <t>Kurtosis of residuals:</t>
  </si>
  <si>
    <t>2011-12</t>
  </si>
  <si>
    <t>Jarque-Bera statistic:</t>
  </si>
  <si>
    <t>2012-13</t>
  </si>
  <si>
    <t>p-value:</t>
  </si>
  <si>
    <t>0.0000e+00</t>
  </si>
  <si>
    <t>2013-14</t>
  </si>
  <si>
    <t>H₀ REJECTED — Non-normal residuals (|Skewness|&gt;1, Kurtosis&gt;&gt;3, JB p≈0)</t>
  </si>
  <si>
    <t>2014-15</t>
  </si>
  <si>
    <t>2015-16</t>
  </si>
  <si>
    <t>D2: Heteroscedasticity — Breusch-Pagan Test</t>
  </si>
  <si>
    <t>2016-17</t>
  </si>
  <si>
    <t>BP-KB version λ (LM statistic):</t>
  </si>
  <si>
    <t>2017-18</t>
  </si>
  <si>
    <t>p-value (KB):</t>
  </si>
  <si>
    <t>2018-19</t>
  </si>
  <si>
    <t>BP Cook-Weisberg χ²(1):</t>
  </si>
  <si>
    <t>2019-20</t>
  </si>
  <si>
    <t>p-value (CW):</t>
  </si>
  <si>
    <t>2020-21</t>
  </si>
  <si>
    <t>FAIL TO REJECT H₀ — Homoscedastic errors (both KB p=0.661 &gt; 0.05 and CW p=0.330 &gt; 0.05)</t>
  </si>
  <si>
    <t>2021-22</t>
  </si>
  <si>
    <t>2022-23</t>
  </si>
  <si>
    <t>D3: Autocorrelation — Breusch-Godfrey, Runs Test &amp; Durbin-Watson</t>
  </si>
  <si>
    <t>2023-24</t>
  </si>
  <si>
    <t>Breusch-Godfrey LM (1 lag):</t>
  </si>
  <si>
    <t>Summary Statistics</t>
  </si>
  <si>
    <t>p-value (BG):</t>
  </si>
  <si>
    <t>Runs Test — n+ (positive residuals):</t>
  </si>
  <si>
    <t>Runs Test — n− (negative residuals):</t>
  </si>
  <si>
    <t>Number of runs:</t>
  </si>
  <si>
    <t>Expected runs:</t>
  </si>
  <si>
    <t>SUMMARY OF DIAGNOSTIC RESULTS</t>
  </si>
  <si>
    <t>Std. dev. of runs:</t>
  </si>
  <si>
    <t>Test</t>
  </si>
  <si>
    <t>Result</t>
  </si>
  <si>
    <t>Decision</t>
  </si>
  <si>
    <t>z-statistic:</t>
  </si>
  <si>
    <t>Normality (JB)</t>
  </si>
  <si>
    <t>JB=118.86, p≈0</t>
  </si>
  <si>
    <t>❌ Non-normal errors</t>
  </si>
  <si>
    <t>Durbin-Watson d:</t>
  </si>
  <si>
    <t>Heteroscedasticity (KB)</t>
  </si>
  <si>
    <t>λ=0.1919, p=0.6613</t>
  </si>
  <si>
    <t>✔ Homoscedastic</t>
  </si>
  <si>
    <t>DW lower bound dL (5%, n=34, k=1):</t>
  </si>
  <si>
    <t>Heteroscedasticity (CW)</t>
  </si>
  <si>
    <t>χ²=0.9473, p=0.3304</t>
  </si>
  <si>
    <t>DW upper bound dU (5%, n=34, k=1):</t>
  </si>
  <si>
    <t>Autocorrelation (BG)</t>
  </si>
  <si>
    <t>LM=0.0209, p=0.8851</t>
  </si>
  <si>
    <t>✔ No autocorrelation</t>
  </si>
  <si>
    <t>FAIL TO REJECT H₀ — No evidence of autocorrelation (DW=2.01 ∈ [dU, 4-dU]; BG p=0.885; Runs z=-0.761)</t>
  </si>
  <si>
    <t>Autocorrelation (Runs)</t>
  </si>
  <si>
    <t>z=-0.7605</t>
  </si>
  <si>
    <t>Autocorrelation (DW)</t>
  </si>
  <si>
    <t>d=2.0123</t>
  </si>
  <si>
    <t>SECTION F — SCATTER PLOT: X vs Y (with Regression Line)</t>
  </si>
  <si>
    <t>Overall Model (F-test)</t>
  </si>
  <si>
    <t>F=3.5306, p=0.0694</t>
  </si>
  <si>
    <t>⚠ Borderline sig. (p&lt;0.10)</t>
  </si>
  <si>
    <t>X</t>
  </si>
  <si>
    <t>Y actual</t>
  </si>
  <si>
    <t>Y fitted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</si>
</sst>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\4\f"/>
    <numFmt numFmtId="165" formatCode="0.0000"/>
    <numFmt numFmtId="166" formatCode="0.0000000"/>
  </numFmts>
  <fonts count="14" x14ac:knownFonts="1">
    <font>
      <sz val="11"/>
      <color theme="1"/>
      <name val="Calibri"/>
      <family val="2"/>
      <scheme val="minor"/>
    </font>
    <font>
      <b/>
      <sz val="13"/>
      <color rgb="FFFFFFFF"/>
      <name val="Arial"/>
    </font>
    <font>
      <sz val="10"/>
      <color rgb="FFFFFFFF"/>
      <name val="Arial"/>
    </font>
    <font>
      <b/>
      <sz val="10"/>
      <color rgb="FFFFFFFF"/>
      <name val="Arial"/>
    </font>
    <font>
      <b/>
      <sz val="9"/>
      <color rgb="FFFFFFFF"/>
      <name val="Arial"/>
    </font>
    <font>
      <sz val="9"/>
      <name val="Arial"/>
    </font>
    <font>
      <sz val="9"/>
      <color rgb="FF000000"/>
      <name val="Arial"/>
    </font>
    <font>
      <sz val="9"/>
      <color rgb="FFC00000"/>
      <name val="Arial"/>
    </font>
    <font>
      <b/>
      <sz val="9"/>
      <color rgb="FF000000"/>
      <name val="Arial"/>
    </font>
    <font>
      <b/>
      <sz val="8"/>
      <color rgb="FFFFFFFF"/>
      <name val="Arial"/>
    </font>
    <font>
      <i/>
      <sz val="9"/>
      <color rgb="FF1F4E79"/>
      <name val="Arial"/>
    </font>
    <font>
      <b/>
      <sz val="9"/>
      <name val="Arial"/>
    </font>
    <font>
      <b/>
      <sz val="9"/>
      <color rgb="FFC00000"/>
      <name val="Arial"/>
    </font>
    <font>
      <b/>
      <sz val="9"/>
      <color rgb="FF375623"/>
      <name val="Arial"/>
    </font>
  </fonts>
  <fills count="10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2E75B6"/>
      </patternFill>
    </fill>
    <fill>
      <patternFill patternType="solid">
        <fgColor rgb="FFF2F7FB"/>
      </patternFill>
    </fill>
    <fill>
      <patternFill patternType="solid">
        <fgColor rgb="FFFFFFFF"/>
      </patternFill>
    </fill>
    <fill>
      <patternFill patternType="solid">
        <fgColor rgb="FFBDD7EE"/>
      </patternFill>
    </fill>
    <fill>
      <patternFill patternType="solid">
        <fgColor rgb="FFFFF2CC"/>
      </patternFill>
    </fill>
    <fill>
      <patternFill patternType="solid">
        <fgColor rgb="FFFCE4D6"/>
      </patternFill>
    </fill>
    <fill>
      <patternFill patternType="solid">
        <fgColor rgb="FFE2EFDA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0">
    <xf numFmtId="0" fontId="0" fillId="0" borderId="0" xfId="0"/>
    <xf numFmtId="0" fontId="4" fillId="3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center"/>
    </xf>
    <xf numFmtId="164" fontId="6" fillId="4" borderId="1" xfId="0" applyNumberFormat="1" applyFont="1" applyFill="1" applyBorder="1" applyAlignment="1">
      <alignment horizontal="right"/>
    </xf>
    <xf numFmtId="164" fontId="5" fillId="4" borderId="1" xfId="0" applyNumberFormat="1" applyFont="1" applyFill="1" applyBorder="1" applyAlignment="1">
      <alignment horizontal="right"/>
    </xf>
    <xf numFmtId="0" fontId="5" fillId="4" borderId="1" xfId="0" applyFont="1" applyFill="1" applyBorder="1" applyAlignment="1">
      <alignment horizontal="left" vertical="center"/>
    </xf>
    <xf numFmtId="0" fontId="5" fillId="4" borderId="1" xfId="0" applyFont="1" applyFill="1" applyBorder="1" applyAlignment="1">
      <alignment horizontal="right" vertical="center"/>
    </xf>
    <xf numFmtId="165" fontId="5" fillId="4" borderId="1" xfId="0" applyNumberFormat="1" applyFont="1" applyFill="1" applyBorder="1" applyAlignment="1">
      <alignment horizontal="right" vertical="center"/>
    </xf>
    <xf numFmtId="0" fontId="6" fillId="4" borderId="1" xfId="0" applyFont="1" applyFill="1" applyBorder="1" applyAlignment="1">
      <alignment horizontal="center" vertical="center"/>
    </xf>
    <xf numFmtId="165" fontId="6" fillId="4" borderId="1" xfId="0" applyNumberFormat="1" applyFont="1" applyFill="1" applyBorder="1" applyAlignment="1">
      <alignment horizontal="right" vertical="center"/>
    </xf>
    <xf numFmtId="0" fontId="5" fillId="5" borderId="1" xfId="0" applyFont="1" applyFill="1" applyBorder="1" applyAlignment="1">
      <alignment horizontal="center" vertical="center"/>
    </xf>
    <xf numFmtId="0" fontId="5" fillId="5" borderId="1" xfId="0" applyFont="1" applyFill="1" applyBorder="1" applyAlignment="1">
      <alignment horizontal="center"/>
    </xf>
    <xf numFmtId="164" fontId="6" fillId="5" borderId="1" xfId="0" applyNumberFormat="1" applyFont="1" applyFill="1" applyBorder="1" applyAlignment="1">
      <alignment horizontal="right"/>
    </xf>
    <xf numFmtId="164" fontId="5" fillId="5" borderId="1" xfId="0" applyNumberFormat="1" applyFont="1" applyFill="1" applyBorder="1" applyAlignment="1">
      <alignment horizontal="right"/>
    </xf>
    <xf numFmtId="0" fontId="5" fillId="5" borderId="1" xfId="0" applyFont="1" applyFill="1" applyBorder="1" applyAlignment="1">
      <alignment horizontal="left" vertical="center"/>
    </xf>
    <xf numFmtId="0" fontId="5" fillId="5" borderId="1" xfId="0" applyFont="1" applyFill="1" applyBorder="1" applyAlignment="1">
      <alignment horizontal="right" vertical="center"/>
    </xf>
    <xf numFmtId="165" fontId="5" fillId="5" borderId="1" xfId="0" applyNumberFormat="1" applyFont="1" applyFill="1" applyBorder="1" applyAlignment="1">
      <alignment horizontal="right" vertical="center"/>
    </xf>
    <xf numFmtId="0" fontId="6" fillId="5" borderId="1" xfId="0" applyFont="1" applyFill="1" applyBorder="1" applyAlignment="1">
      <alignment horizontal="center" vertical="center"/>
    </xf>
    <xf numFmtId="165" fontId="6" fillId="5" borderId="1" xfId="0" applyNumberFormat="1" applyFont="1" applyFill="1" applyBorder="1" applyAlignment="1">
      <alignment horizontal="right" vertical="center"/>
    </xf>
    <xf numFmtId="165" fontId="7" fillId="5" borderId="1" xfId="0" applyNumberFormat="1" applyFont="1" applyFill="1" applyBorder="1" applyAlignment="1">
      <alignment horizontal="right" vertical="center"/>
    </xf>
    <xf numFmtId="0" fontId="9" fillId="2" borderId="1" xfId="0" applyFont="1" applyFill="1" applyBorder="1" applyAlignment="1">
      <alignment horizontal="center" vertical="center" wrapText="1"/>
    </xf>
    <xf numFmtId="166" fontId="5" fillId="4" borderId="1" xfId="0" applyNumberFormat="1" applyFont="1" applyFill="1" applyBorder="1" applyAlignment="1">
      <alignment horizontal="right" vertical="center"/>
    </xf>
    <xf numFmtId="165" fontId="6" fillId="5" borderId="1" xfId="0" applyNumberFormat="1" applyFont="1" applyFill="1" applyBorder="1" applyAlignment="1">
      <alignment horizontal="center" vertical="center"/>
    </xf>
    <xf numFmtId="166" fontId="5" fillId="5" borderId="1" xfId="0" applyNumberFormat="1" applyFont="1" applyFill="1" applyBorder="1" applyAlignment="1">
      <alignment horizontal="right" vertical="center"/>
    </xf>
    <xf numFmtId="165" fontId="7" fillId="4" borderId="1" xfId="0" applyNumberFormat="1" applyFont="1" applyFill="1" applyBorder="1" applyAlignment="1">
      <alignment horizontal="right" vertical="center"/>
    </xf>
    <xf numFmtId="0" fontId="0" fillId="0" borderId="1" xfId="0" applyBorder="1"/>
    <xf numFmtId="0" fontId="5" fillId="0" borderId="1" xfId="0" applyFont="1" applyBorder="1" applyAlignment="1">
      <alignment horizontal="left"/>
    </xf>
    <xf numFmtId="0" fontId="11" fillId="0" borderId="1" xfId="0" applyFont="1" applyBorder="1" applyAlignment="1">
      <alignment horizontal="right"/>
    </xf>
    <xf numFmtId="165" fontId="11" fillId="0" borderId="1" xfId="0" applyNumberFormat="1" applyFont="1" applyBorder="1" applyAlignment="1">
      <alignment horizontal="right"/>
    </xf>
    <xf numFmtId="164" fontId="7" fillId="4" borderId="1" xfId="0" applyNumberFormat="1" applyFont="1" applyFill="1" applyBorder="1" applyAlignment="1">
      <alignment horizontal="right"/>
    </xf>
    <xf numFmtId="0" fontId="4" fillId="3" borderId="1" xfId="0" applyFont="1" applyFill="1" applyBorder="1" applyAlignment="1">
      <alignment horizontal="left" vertical="center" wrapText="1"/>
    </xf>
    <xf numFmtId="0" fontId="6" fillId="4" borderId="1" xfId="0" applyFont="1" applyFill="1" applyBorder="1" applyAlignment="1">
      <alignment horizontal="left" vertical="center" wrapText="1"/>
    </xf>
    <xf numFmtId="0" fontId="6" fillId="5" borderId="1" xfId="0" applyFont="1" applyFill="1" applyBorder="1" applyAlignment="1">
      <alignment horizontal="left" vertical="center" wrapText="1"/>
    </xf>
    <xf numFmtId="0" fontId="8" fillId="6" borderId="1" xfId="0" applyFont="1" applyFill="1" applyBorder="1" applyAlignment="1">
      <alignment horizontal="left" vertical="center"/>
    </xf>
    <xf numFmtId="0" fontId="0" fillId="0" borderId="1" xfId="0" applyBorder="1"/>
    <xf numFmtId="0" fontId="6" fillId="5" borderId="1" xfId="0" applyFont="1" applyFill="1" applyBorder="1" applyAlignment="1">
      <alignment horizontal="left" vertical="center" wrapText="1"/>
    </xf>
    <xf numFmtId="0" fontId="0" fillId="0" borderId="0" xfId="0"/>
    <xf numFmtId="0" fontId="3" fillId="3" borderId="0" xfId="0" applyFont="1" applyFill="1" applyAlignment="1">
      <alignment horizontal="center" vertical="center"/>
    </xf>
    <xf numFmtId="0" fontId="6" fillId="4" borderId="1" xfId="0" applyFont="1" applyFill="1" applyBorder="1" applyAlignment="1">
      <alignment horizontal="left" vertical="center" wrapText="1"/>
    </xf>
    <xf numFmtId="0" fontId="3" fillId="2" borderId="0" xfId="0" applyFont="1" applyFill="1" applyAlignment="1">
      <alignment horizontal="center" vertical="center"/>
    </xf>
    <xf numFmtId="0" fontId="12" fillId="8" borderId="1" xfId="0" applyFont="1" applyFill="1" applyBorder="1" applyAlignment="1">
      <alignment horizontal="left" vertical="center"/>
    </xf>
    <xf numFmtId="0" fontId="8" fillId="6" borderId="0" xfId="0" applyFont="1" applyFill="1" applyAlignment="1">
      <alignment horizontal="left" vertical="center"/>
    </xf>
    <xf numFmtId="0" fontId="1" fillId="2" borderId="0" xfId="0" applyFont="1" applyFill="1" applyAlignment="1">
      <alignment horizontal="center" vertical="center"/>
    </xf>
    <xf numFmtId="0" fontId="10" fillId="7" borderId="0" xfId="0" applyFont="1" applyFill="1" applyAlignment="1">
      <alignment horizontal="left" vertical="center"/>
    </xf>
    <xf numFmtId="0" fontId="13" fillId="9" borderId="1" xfId="0" applyFont="1" applyFill="1" applyBorder="1" applyAlignment="1">
      <alignment horizontal="left" vertical="center"/>
    </xf>
    <xf numFmtId="0" fontId="4" fillId="3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left" vertical="center" wrapText="1"/>
    </xf>
    <xf numFmtId="0" fontId="2" fillId="3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10"/>
  <c:chart>
    <c:title>
      <c:tx>
        <c:rich>
          <a:bodyPr/>
          <a:lstStyle/>
          <a:p>
            <a:pPr>
              <a:defRPr/>
            </a:pPr>
            <a:r>
              <a:rPr lang="en-IN"/>
              <a:t>GDP Growth vs Gross Domestic Savings</a:t>
            </a:r>
          </a:p>
        </c:rich>
      </c:tx>
      <c:overlay val="1"/>
    </c:title>
    <c:autoTitleDeleted val="0"/>
    <c:plotArea>
      <c:layout/>
      <c:scatterChart>
        <c:scatterStyle val="lineMarker"/>
        <c:varyColors val="1"/>
        <c:ser>
          <c:idx val="0"/>
          <c:order val="0"/>
          <c:tx>
            <c:v>Actual Data</c:v>
          </c:tx>
          <c:spPr>
            <a:ln>
              <a:noFill/>
              <a:prstDash val="solid"/>
            </a:ln>
          </c:spPr>
          <c:marker>
            <c:symbol val="circle"/>
            <c:size val="5"/>
            <c:spPr>
              <a:ln>
                <a:prstDash val="solid"/>
              </a:ln>
            </c:spPr>
          </c:marker>
          <c:xVal>
            <c:numRef>
              <c:f>'Regression Analysis'!$F$54:$F$87</c:f>
              <c:numCache>
                <c:formatCode>General</c:formatCode>
                <c:ptCount val="34"/>
                <c:pt idx="0">
                  <c:v>21.639399999999998</c:v>
                </c:pt>
                <c:pt idx="1">
                  <c:v>21.903199999999998</c:v>
                </c:pt>
                <c:pt idx="2">
                  <c:v>23.340599999999998</c:v>
                </c:pt>
                <c:pt idx="3">
                  <c:v>23.5458</c:v>
                </c:pt>
                <c:pt idx="4">
                  <c:v>24.723299999999998</c:v>
                </c:pt>
                <c:pt idx="5">
                  <c:v>25.7593</c:v>
                </c:pt>
                <c:pt idx="6">
                  <c:v>25.113900000000001</c:v>
                </c:pt>
                <c:pt idx="7">
                  <c:v>25.0594</c:v>
                </c:pt>
                <c:pt idx="8">
                  <c:v>24.281400000000001</c:v>
                </c:pt>
                <c:pt idx="9">
                  <c:v>23.815000000000001</c:v>
                </c:pt>
                <c:pt idx="10">
                  <c:v>24.313199999999998</c:v>
                </c:pt>
                <c:pt idx="11">
                  <c:v>24.091699999999999</c:v>
                </c:pt>
                <c:pt idx="12">
                  <c:v>25.656300000000002</c:v>
                </c:pt>
                <c:pt idx="13">
                  <c:v>27.62</c:v>
                </c:pt>
                <c:pt idx="14">
                  <c:v>31.2437</c:v>
                </c:pt>
                <c:pt idx="15">
                  <c:v>32.255099999999999</c:v>
                </c:pt>
                <c:pt idx="16">
                  <c:v>34.087600000000002</c:v>
                </c:pt>
                <c:pt idx="17">
                  <c:v>34.377400000000002</c:v>
                </c:pt>
                <c:pt idx="18">
                  <c:v>32.784700000000001</c:v>
                </c:pt>
                <c:pt idx="19">
                  <c:v>32.580399999999997</c:v>
                </c:pt>
                <c:pt idx="20">
                  <c:v>34.267499999999998</c:v>
                </c:pt>
                <c:pt idx="21">
                  <c:v>32.708300000000001</c:v>
                </c:pt>
                <c:pt idx="22">
                  <c:v>32.855200000000004</c:v>
                </c:pt>
                <c:pt idx="23">
                  <c:v>32.059100000000001</c:v>
                </c:pt>
                <c:pt idx="24">
                  <c:v>31.4314</c:v>
                </c:pt>
                <c:pt idx="25">
                  <c:v>30.564399999999999</c:v>
                </c:pt>
                <c:pt idx="26">
                  <c:v>30.3962</c:v>
                </c:pt>
                <c:pt idx="27">
                  <c:v>30.5077</c:v>
                </c:pt>
                <c:pt idx="28">
                  <c:v>29.888500000000001</c:v>
                </c:pt>
                <c:pt idx="29">
                  <c:v>28.085999999999999</c:v>
                </c:pt>
                <c:pt idx="30">
                  <c:v>27.289400000000001</c:v>
                </c:pt>
                <c:pt idx="31">
                  <c:v>28.5732</c:v>
                </c:pt>
                <c:pt idx="32">
                  <c:v>28.281300000000002</c:v>
                </c:pt>
                <c:pt idx="33">
                  <c:v>29.506499999999999</c:v>
                </c:pt>
              </c:numCache>
            </c:numRef>
          </c:xVal>
          <c:yVal>
            <c:numRef>
              <c:f>'Regression Analysis'!$G$54:$G$87</c:f>
              <c:numCache>
                <c:formatCode>General</c:formatCode>
                <c:ptCount val="34"/>
                <c:pt idx="0">
                  <c:v>5.5335000000000001</c:v>
                </c:pt>
                <c:pt idx="1">
                  <c:v>1.0568</c:v>
                </c:pt>
                <c:pt idx="2">
                  <c:v>5.4824000000000002</c:v>
                </c:pt>
                <c:pt idx="3">
                  <c:v>4.7507999999999999</c:v>
                </c:pt>
                <c:pt idx="4">
                  <c:v>6.6589</c:v>
                </c:pt>
                <c:pt idx="5">
                  <c:v>7.5744999999999996</c:v>
                </c:pt>
                <c:pt idx="6">
                  <c:v>7.5495000000000001</c:v>
                </c:pt>
                <c:pt idx="7">
                  <c:v>4.0498000000000003</c:v>
                </c:pt>
                <c:pt idx="8">
                  <c:v>6.1844000000000001</c:v>
                </c:pt>
                <c:pt idx="9">
                  <c:v>8.8458000000000006</c:v>
                </c:pt>
                <c:pt idx="10">
                  <c:v>3.8410000000000002</c:v>
                </c:pt>
                <c:pt idx="11">
                  <c:v>4.8239999999999998</c:v>
                </c:pt>
                <c:pt idx="12">
                  <c:v>3.8039999999999998</c:v>
                </c:pt>
                <c:pt idx="13">
                  <c:v>7.8604000000000003</c:v>
                </c:pt>
                <c:pt idx="14">
                  <c:v>7.9229000000000003</c:v>
                </c:pt>
                <c:pt idx="15">
                  <c:v>7.9234</c:v>
                </c:pt>
                <c:pt idx="16">
                  <c:v>8.0607000000000006</c:v>
                </c:pt>
                <c:pt idx="17">
                  <c:v>7.6608000000000001</c:v>
                </c:pt>
                <c:pt idx="18">
                  <c:v>3.0867</c:v>
                </c:pt>
                <c:pt idx="19">
                  <c:v>7.8619000000000003</c:v>
                </c:pt>
                <c:pt idx="20">
                  <c:v>8.4976000000000003</c:v>
                </c:pt>
                <c:pt idx="21">
                  <c:v>5.2412999999999998</c:v>
                </c:pt>
                <c:pt idx="22">
                  <c:v>5.4564000000000004</c:v>
                </c:pt>
                <c:pt idx="23">
                  <c:v>6.3860999999999999</c:v>
                </c:pt>
                <c:pt idx="24">
                  <c:v>7.4101999999999997</c:v>
                </c:pt>
                <c:pt idx="25">
                  <c:v>7.9962999999999997</c:v>
                </c:pt>
                <c:pt idx="26">
                  <c:v>8.2562999999999995</c:v>
                </c:pt>
                <c:pt idx="27">
                  <c:v>6.7953999999999999</c:v>
                </c:pt>
                <c:pt idx="28">
                  <c:v>6.4539</c:v>
                </c:pt>
                <c:pt idx="29">
                  <c:v>3.8714</c:v>
                </c:pt>
                <c:pt idx="30">
                  <c:v>-5.7777000000000003</c:v>
                </c:pt>
                <c:pt idx="31">
                  <c:v>9.6896000000000004</c:v>
                </c:pt>
                <c:pt idx="32">
                  <c:v>7.6093999999999999</c:v>
                </c:pt>
                <c:pt idx="33">
                  <c:v>9.1907999999999994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5490-461E-98E5-28AEA19ECDA0}"/>
            </c:ext>
          </c:extLst>
        </c:ser>
        <c:ser>
          <c:idx val="1"/>
          <c:order val="1"/>
          <c:tx>
            <c:v>Regression Line</c:v>
          </c:tx>
          <c:spPr>
            <a:ln w="20000">
              <a:solidFill>
                <a:srgbClr val="FF0000"/>
              </a:solidFill>
              <a:prstDash val="solid"/>
            </a:ln>
          </c:spPr>
          <c:marker>
            <c:symbol val="none"/>
          </c:marker>
          <c:xVal>
            <c:numRef>
              <c:f>'Regression Analysis'!$H$54:$H$87</c:f>
              <c:numCache>
                <c:formatCode>General</c:formatCode>
                <c:ptCount val="34"/>
                <c:pt idx="0">
                  <c:v>21.639399999999998</c:v>
                </c:pt>
                <c:pt idx="1">
                  <c:v>21.903199999999998</c:v>
                </c:pt>
                <c:pt idx="2">
                  <c:v>23.340599999999998</c:v>
                </c:pt>
                <c:pt idx="3">
                  <c:v>23.5458</c:v>
                </c:pt>
                <c:pt idx="4">
                  <c:v>23.815000000000001</c:v>
                </c:pt>
                <c:pt idx="5">
                  <c:v>24.091699999999999</c:v>
                </c:pt>
                <c:pt idx="6">
                  <c:v>24.281400000000001</c:v>
                </c:pt>
                <c:pt idx="7">
                  <c:v>24.313199999999998</c:v>
                </c:pt>
                <c:pt idx="8">
                  <c:v>24.723299999999998</c:v>
                </c:pt>
                <c:pt idx="9">
                  <c:v>25.0594</c:v>
                </c:pt>
                <c:pt idx="10">
                  <c:v>25.113900000000001</c:v>
                </c:pt>
                <c:pt idx="11">
                  <c:v>25.656300000000002</c:v>
                </c:pt>
                <c:pt idx="12">
                  <c:v>25.7593</c:v>
                </c:pt>
                <c:pt idx="13">
                  <c:v>27.289400000000001</c:v>
                </c:pt>
                <c:pt idx="14">
                  <c:v>27.62</c:v>
                </c:pt>
                <c:pt idx="15">
                  <c:v>28.085999999999999</c:v>
                </c:pt>
                <c:pt idx="16">
                  <c:v>28.281300000000002</c:v>
                </c:pt>
                <c:pt idx="17">
                  <c:v>28.5732</c:v>
                </c:pt>
                <c:pt idx="18">
                  <c:v>29.506499999999999</c:v>
                </c:pt>
                <c:pt idx="19">
                  <c:v>29.888500000000001</c:v>
                </c:pt>
                <c:pt idx="20">
                  <c:v>30.3962</c:v>
                </c:pt>
                <c:pt idx="21">
                  <c:v>30.5077</c:v>
                </c:pt>
                <c:pt idx="22">
                  <c:v>30.564399999999999</c:v>
                </c:pt>
                <c:pt idx="23">
                  <c:v>31.2437</c:v>
                </c:pt>
                <c:pt idx="24">
                  <c:v>31.4314</c:v>
                </c:pt>
                <c:pt idx="25">
                  <c:v>32.059100000000001</c:v>
                </c:pt>
                <c:pt idx="26">
                  <c:v>32.255099999999999</c:v>
                </c:pt>
                <c:pt idx="27">
                  <c:v>32.580399999999997</c:v>
                </c:pt>
                <c:pt idx="28">
                  <c:v>32.708300000000001</c:v>
                </c:pt>
                <c:pt idx="29">
                  <c:v>32.784700000000001</c:v>
                </c:pt>
                <c:pt idx="30">
                  <c:v>32.855200000000004</c:v>
                </c:pt>
                <c:pt idx="31">
                  <c:v>34.087600000000002</c:v>
                </c:pt>
                <c:pt idx="32">
                  <c:v>34.267499999999998</c:v>
                </c:pt>
                <c:pt idx="33">
                  <c:v>34.377400000000002</c:v>
                </c:pt>
              </c:numCache>
            </c:numRef>
          </c:xVal>
          <c:yVal>
            <c:numRef>
              <c:f>'Regression Analysis'!$I$54:$I$87</c:f>
              <c:numCache>
                <c:formatCode>General</c:formatCode>
                <c:ptCount val="34"/>
                <c:pt idx="0">
                  <c:v>4.5418000000000003</c:v>
                </c:pt>
                <c:pt idx="1">
                  <c:v>4.6031000000000004</c:v>
                </c:pt>
                <c:pt idx="2">
                  <c:v>4.9371999999999998</c:v>
                </c:pt>
                <c:pt idx="3">
                  <c:v>4.9847999999999999</c:v>
                </c:pt>
                <c:pt idx="4">
                  <c:v>5.0473999999999997</c:v>
                </c:pt>
                <c:pt idx="5">
                  <c:v>5.1116999999999999</c:v>
                </c:pt>
                <c:pt idx="6">
                  <c:v>5.1558000000000002</c:v>
                </c:pt>
                <c:pt idx="7">
                  <c:v>5.1631999999999998</c:v>
                </c:pt>
                <c:pt idx="8">
                  <c:v>5.2584999999999997</c:v>
                </c:pt>
                <c:pt idx="9">
                  <c:v>5.3365999999999998</c:v>
                </c:pt>
                <c:pt idx="10">
                  <c:v>5.3493000000000004</c:v>
                </c:pt>
                <c:pt idx="11">
                  <c:v>5.4752999999999998</c:v>
                </c:pt>
                <c:pt idx="12">
                  <c:v>5.4992999999999999</c:v>
                </c:pt>
                <c:pt idx="13">
                  <c:v>5.8548</c:v>
                </c:pt>
                <c:pt idx="14">
                  <c:v>5.9317000000000002</c:v>
                </c:pt>
                <c:pt idx="15">
                  <c:v>6.04</c:v>
                </c:pt>
                <c:pt idx="16">
                  <c:v>6.0853999999999999</c:v>
                </c:pt>
                <c:pt idx="17">
                  <c:v>6.1532</c:v>
                </c:pt>
                <c:pt idx="18">
                  <c:v>6.3700999999999999</c:v>
                </c:pt>
                <c:pt idx="19">
                  <c:v>6.4588999999999999</c:v>
                </c:pt>
                <c:pt idx="20">
                  <c:v>6.5769000000000002</c:v>
                </c:pt>
                <c:pt idx="21">
                  <c:v>6.6028000000000002</c:v>
                </c:pt>
                <c:pt idx="22">
                  <c:v>6.6158999999999999</c:v>
                </c:pt>
                <c:pt idx="23">
                  <c:v>6.7737999999999996</c:v>
                </c:pt>
                <c:pt idx="24">
                  <c:v>6.8174000000000001</c:v>
                </c:pt>
                <c:pt idx="25">
                  <c:v>6.9633000000000003</c:v>
                </c:pt>
                <c:pt idx="26">
                  <c:v>7.0088999999999997</c:v>
                </c:pt>
                <c:pt idx="27">
                  <c:v>7.0845000000000002</c:v>
                </c:pt>
                <c:pt idx="28">
                  <c:v>7.1142000000000003</c:v>
                </c:pt>
                <c:pt idx="29">
                  <c:v>7.1318999999999999</c:v>
                </c:pt>
                <c:pt idx="30">
                  <c:v>7.1482999999999999</c:v>
                </c:pt>
                <c:pt idx="31">
                  <c:v>7.4347000000000003</c:v>
                </c:pt>
                <c:pt idx="32">
                  <c:v>7.4764999999999997</c:v>
                </c:pt>
                <c:pt idx="33">
                  <c:v>7.5021000000000004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5490-461E-98E5-28AEA19ECDA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"/>
        <c:axId val="20"/>
      </c:scatterChart>
      <c:valAx>
        <c:axId val="10"/>
        <c:scaling>
          <c:orientation val="minMax"/>
        </c:scaling>
        <c:delete val="1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Gross Domestic Savings (% GDP)</a:t>
                </a:r>
              </a:p>
            </c:rich>
          </c:tx>
          <c:overlay val="1"/>
        </c:title>
        <c:numFmt formatCode="0.0" sourceLinked="0"/>
        <c:majorTickMark val="none"/>
        <c:minorTickMark val="none"/>
        <c:tickLblPos val="nextTo"/>
        <c:crossAx val="20"/>
        <c:crosses val="autoZero"/>
        <c:crossBetween val="midCat"/>
      </c:valAx>
      <c:valAx>
        <c:axId val="2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GDP Growth Rate (%)</a:t>
                </a:r>
              </a:p>
            </c:rich>
          </c:tx>
          <c:overlay val="1"/>
        </c:title>
        <c:numFmt formatCode="0.0" sourceLinked="0"/>
        <c:majorTickMark val="none"/>
        <c:minorTickMark val="none"/>
        <c:tickLblPos val="nextTo"/>
        <c:crossAx val="10"/>
        <c:crosses val="autoZero"/>
        <c:crossBetween val="midCat"/>
      </c:valAx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0</xdr:colOff>
      <xdr:row>53</xdr:row>
      <xdr:rowOff>0</xdr:rowOff>
    </xdr:from>
    <xdr:ext cx="6480000" cy="504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87"/>
  <sheetViews>
    <sheetView tabSelected="1" workbookViewId="0">
      <pane xSplit="4" ySplit="5" topLeftCell="E15" activePane="bottomRight" state="frozen"/>
      <selection pane="topRight"/>
      <selection pane="bottomLeft"/>
      <selection pane="bottomRight"/>
    </sheetView>
  </sheetViews>
  <sheetFormatPr defaultRowHeight="14.4" x14ac:dyDescent="0.3"/>
  <cols>
    <col min="1" max="1" width="14" customWidth="1"/>
    <col min="2" max="2" width="7" customWidth="1"/>
    <col min="3" max="4" width="14" customWidth="1"/>
    <col min="5" max="5" width="3" customWidth="1"/>
    <col min="6" max="6" width="12" customWidth="1"/>
    <col min="7" max="7" width="10" customWidth="1"/>
    <col min="8" max="8" width="6" customWidth="1"/>
    <col min="9" max="12" width="10" customWidth="1"/>
    <col min="13" max="13" width="3" customWidth="1"/>
    <col min="14" max="14" width="12" customWidth="1"/>
    <col min="15" max="15" width="10" customWidth="1"/>
    <col min="16" max="16" width="6" customWidth="1"/>
    <col min="17" max="17" width="8" customWidth="1"/>
    <col min="18" max="19" width="12" customWidth="1"/>
  </cols>
  <sheetData>
    <row r="1" spans="1:19" ht="22.05" customHeight="1" x14ac:dyDescent="0.3">
      <c r="A1" s="44" t="s">
        <v>0</v>
      </c>
      <c r="B1" s="38"/>
      <c r="C1" s="38"/>
      <c r="D1" s="38"/>
      <c r="E1" s="38"/>
      <c r="F1" s="38"/>
      <c r="G1" s="38"/>
      <c r="H1" s="38"/>
      <c r="I1" s="38"/>
      <c r="J1" s="38"/>
      <c r="K1" s="38"/>
      <c r="L1" s="38"/>
      <c r="M1" s="38"/>
      <c r="N1" s="38"/>
      <c r="O1" s="38"/>
      <c r="P1" s="38"/>
      <c r="Q1" s="38"/>
      <c r="R1" s="38"/>
      <c r="S1" s="38"/>
    </row>
    <row r="2" spans="1:19" ht="16.05" customHeight="1" x14ac:dyDescent="0.3">
      <c r="A2" s="49" t="s">
        <v>1</v>
      </c>
      <c r="B2" s="38"/>
      <c r="C2" s="38"/>
      <c r="D2" s="38"/>
      <c r="E2" s="38"/>
      <c r="F2" s="38"/>
      <c r="G2" s="38"/>
      <c r="H2" s="38"/>
      <c r="I2" s="38"/>
      <c r="J2" s="38"/>
      <c r="K2" s="38"/>
      <c r="L2" s="38"/>
      <c r="M2" s="38"/>
      <c r="N2" s="38"/>
      <c r="O2" s="38"/>
      <c r="P2" s="38"/>
      <c r="Q2" s="38"/>
      <c r="R2" s="38"/>
      <c r="S2" s="38"/>
    </row>
    <row r="4" spans="1:19" ht="15" customHeight="1" x14ac:dyDescent="0.3">
      <c r="A4" s="39" t="s">
        <v>2</v>
      </c>
      <c r="B4" s="38"/>
      <c r="C4" s="38"/>
      <c r="D4" s="38"/>
      <c r="F4" s="39" t="s">
        <v>3</v>
      </c>
      <c r="G4" s="38"/>
      <c r="H4" s="38"/>
      <c r="I4" s="38"/>
      <c r="J4" s="38"/>
      <c r="K4" s="38"/>
      <c r="L4" s="38"/>
      <c r="N4" s="39" t="s">
        <v>4</v>
      </c>
      <c r="O4" s="38"/>
      <c r="P4" s="38"/>
      <c r="Q4" s="38"/>
      <c r="R4" s="38"/>
      <c r="S4" s="38"/>
    </row>
    <row r="5" spans="1:19" ht="30" customHeight="1" x14ac:dyDescent="0.3">
      <c r="A5" s="1" t="s">
        <v>5</v>
      </c>
      <c r="B5" s="1" t="s">
        <v>6</v>
      </c>
      <c r="C5" s="1" t="s">
        <v>7</v>
      </c>
      <c r="D5" s="1" t="s">
        <v>8</v>
      </c>
      <c r="F5" s="2" t="s">
        <v>9</v>
      </c>
      <c r="G5" s="2" t="s">
        <v>10</v>
      </c>
      <c r="H5" s="2" t="s">
        <v>11</v>
      </c>
      <c r="I5" s="2" t="s">
        <v>12</v>
      </c>
      <c r="J5" s="2" t="s">
        <v>13</v>
      </c>
      <c r="K5" s="2" t="s">
        <v>14</v>
      </c>
      <c r="N5" s="1" t="s">
        <v>15</v>
      </c>
      <c r="O5" s="1" t="s">
        <v>16</v>
      </c>
      <c r="P5" s="1" t="s">
        <v>17</v>
      </c>
      <c r="Q5" s="1" t="s">
        <v>18</v>
      </c>
      <c r="R5" s="1" t="s">
        <v>19</v>
      </c>
      <c r="S5" s="1" t="s">
        <v>20</v>
      </c>
    </row>
    <row r="6" spans="1:19" ht="15" customHeight="1" x14ac:dyDescent="0.3">
      <c r="A6" s="3" t="s">
        <v>21</v>
      </c>
      <c r="B6" s="4">
        <v>1990</v>
      </c>
      <c r="C6" s="5">
        <v>5.5335000000000001</v>
      </c>
      <c r="D6" s="6">
        <v>21.639399999999998</v>
      </c>
      <c r="F6" s="7" t="s">
        <v>22</v>
      </c>
      <c r="G6" s="8">
        <v>34</v>
      </c>
      <c r="H6" s="9">
        <v>2006.5</v>
      </c>
      <c r="I6" s="9">
        <v>9.9581999999999997</v>
      </c>
      <c r="J6" s="9">
        <v>1990</v>
      </c>
      <c r="K6" s="9">
        <v>2023</v>
      </c>
      <c r="N6" s="10" t="s">
        <v>21</v>
      </c>
      <c r="O6" s="11">
        <v>5.5335000000000001</v>
      </c>
      <c r="P6" s="11">
        <v>4.5418000000000003</v>
      </c>
      <c r="Q6" s="11">
        <v>0.99170000000000003</v>
      </c>
      <c r="R6" s="11">
        <v>0.98350000000000004</v>
      </c>
      <c r="S6" s="10" t="s">
        <v>23</v>
      </c>
    </row>
    <row r="7" spans="1:19" ht="15" customHeight="1" x14ac:dyDescent="0.3">
      <c r="A7" s="12" t="s">
        <v>24</v>
      </c>
      <c r="B7" s="13">
        <v>1991</v>
      </c>
      <c r="C7" s="14">
        <v>1.0568</v>
      </c>
      <c r="D7" s="15">
        <v>21.903199999999998</v>
      </c>
      <c r="F7" s="16" t="s">
        <v>25</v>
      </c>
      <c r="G7" s="17">
        <v>34</v>
      </c>
      <c r="H7" s="18">
        <v>6.1061529999999999</v>
      </c>
      <c r="I7" s="18">
        <v>2.875302</v>
      </c>
      <c r="J7" s="18">
        <v>-5.7777000000000003</v>
      </c>
      <c r="K7" s="18">
        <v>9.6896000000000004</v>
      </c>
      <c r="N7" s="19" t="s">
        <v>24</v>
      </c>
      <c r="O7" s="20">
        <v>1.0568</v>
      </c>
      <c r="P7" s="20">
        <v>4.6031000000000004</v>
      </c>
      <c r="Q7" s="21">
        <v>-3.5463</v>
      </c>
      <c r="R7" s="20">
        <v>12.5763</v>
      </c>
      <c r="S7" s="19" t="s">
        <v>26</v>
      </c>
    </row>
    <row r="8" spans="1:19" ht="15" customHeight="1" x14ac:dyDescent="0.3">
      <c r="A8" s="3" t="s">
        <v>27</v>
      </c>
      <c r="B8" s="4">
        <v>1992</v>
      </c>
      <c r="C8" s="5">
        <v>5.4824000000000002</v>
      </c>
      <c r="D8" s="6">
        <v>23.340599999999998</v>
      </c>
      <c r="F8" s="7" t="s">
        <v>28</v>
      </c>
      <c r="G8" s="8">
        <v>34</v>
      </c>
      <c r="H8" s="9">
        <v>28.370768000000002</v>
      </c>
      <c r="I8" s="9">
        <v>3.9000859999999999</v>
      </c>
      <c r="J8" s="9">
        <v>21.639399999999998</v>
      </c>
      <c r="K8" s="9">
        <v>34.377400000000002</v>
      </c>
      <c r="N8" s="10" t="s">
        <v>27</v>
      </c>
      <c r="O8" s="11">
        <v>5.4824000000000002</v>
      </c>
      <c r="P8" s="11">
        <v>4.9371999999999998</v>
      </c>
      <c r="Q8" s="11">
        <v>0.54520000000000002</v>
      </c>
      <c r="R8" s="11">
        <v>0.29730000000000001</v>
      </c>
      <c r="S8" s="10" t="s">
        <v>23</v>
      </c>
    </row>
    <row r="9" spans="1:19" ht="15" customHeight="1" x14ac:dyDescent="0.3">
      <c r="A9" s="12" t="s">
        <v>29</v>
      </c>
      <c r="B9" s="13">
        <v>1993</v>
      </c>
      <c r="C9" s="14">
        <v>4.7507999999999999</v>
      </c>
      <c r="D9" s="15">
        <v>23.5458</v>
      </c>
      <c r="N9" s="19" t="s">
        <v>29</v>
      </c>
      <c r="O9" s="20">
        <v>4.7507999999999999</v>
      </c>
      <c r="P9" s="20">
        <v>4.9847999999999999</v>
      </c>
      <c r="Q9" s="21">
        <v>-0.23400000000000001</v>
      </c>
      <c r="R9" s="20">
        <v>5.4800000000000001E-2</v>
      </c>
      <c r="S9" s="19" t="s">
        <v>26</v>
      </c>
    </row>
    <row r="10" spans="1:19" ht="15" customHeight="1" x14ac:dyDescent="0.3">
      <c r="A10" s="3" t="s">
        <v>30</v>
      </c>
      <c r="B10" s="4">
        <v>1994</v>
      </c>
      <c r="C10" s="5">
        <v>6.6589</v>
      </c>
      <c r="D10" s="6">
        <v>24.723299999999998</v>
      </c>
      <c r="F10" s="39" t="s">
        <v>31</v>
      </c>
      <c r="G10" s="38"/>
      <c r="H10" s="38"/>
      <c r="I10" s="38"/>
      <c r="J10" s="38"/>
      <c r="K10" s="38"/>
      <c r="L10" s="38"/>
      <c r="N10" s="10" t="s">
        <v>30</v>
      </c>
      <c r="O10" s="11">
        <v>6.6589</v>
      </c>
      <c r="P10" s="11">
        <v>5.2584999999999997</v>
      </c>
      <c r="Q10" s="11">
        <v>1.4004000000000001</v>
      </c>
      <c r="R10" s="11">
        <v>1.9611000000000001</v>
      </c>
      <c r="S10" s="10" t="s">
        <v>23</v>
      </c>
    </row>
    <row r="11" spans="1:19" ht="15" customHeight="1" x14ac:dyDescent="0.3">
      <c r="A11" s="12" t="s">
        <v>32</v>
      </c>
      <c r="B11" s="13">
        <v>1995</v>
      </c>
      <c r="C11" s="14">
        <v>7.5744999999999996</v>
      </c>
      <c r="D11" s="15">
        <v>25.7593</v>
      </c>
      <c r="F11" s="43" t="s">
        <v>33</v>
      </c>
      <c r="G11" s="38"/>
      <c r="H11" s="38"/>
      <c r="I11" s="38"/>
      <c r="J11" s="38"/>
      <c r="K11" s="38"/>
      <c r="L11" s="38"/>
      <c r="N11" s="19" t="s">
        <v>32</v>
      </c>
      <c r="O11" s="20">
        <v>7.5744999999999996</v>
      </c>
      <c r="P11" s="20">
        <v>5.4992999999999999</v>
      </c>
      <c r="Q11" s="20">
        <v>2.0752000000000002</v>
      </c>
      <c r="R11" s="20">
        <v>4.3066000000000004</v>
      </c>
      <c r="S11" s="19" t="s">
        <v>23</v>
      </c>
    </row>
    <row r="12" spans="1:19" ht="24" customHeight="1" x14ac:dyDescent="0.3">
      <c r="A12" s="3" t="s">
        <v>34</v>
      </c>
      <c r="B12" s="4">
        <v>1996</v>
      </c>
      <c r="C12" s="5">
        <v>7.5495000000000001</v>
      </c>
      <c r="D12" s="6">
        <v>25.113900000000001</v>
      </c>
      <c r="F12" s="22" t="s">
        <v>35</v>
      </c>
      <c r="G12" s="22" t="s">
        <v>36</v>
      </c>
      <c r="H12" s="22" t="s">
        <v>37</v>
      </c>
      <c r="I12" s="22" t="s">
        <v>38</v>
      </c>
      <c r="J12" s="22"/>
      <c r="K12" s="22" t="s">
        <v>39</v>
      </c>
      <c r="L12" s="22" t="s">
        <v>40</v>
      </c>
      <c r="M12" s="22" t="s">
        <v>41</v>
      </c>
      <c r="N12" s="10" t="s">
        <v>34</v>
      </c>
      <c r="O12" s="11">
        <v>7.5495000000000001</v>
      </c>
      <c r="P12" s="11">
        <v>5.3493000000000004</v>
      </c>
      <c r="Q12" s="11">
        <v>2.2002000000000002</v>
      </c>
      <c r="R12" s="11">
        <v>4.8410000000000002</v>
      </c>
      <c r="S12" s="10" t="s">
        <v>23</v>
      </c>
    </row>
    <row r="13" spans="1:19" ht="15" customHeight="1" x14ac:dyDescent="0.3">
      <c r="A13" s="12" t="s">
        <v>42</v>
      </c>
      <c r="B13" s="13">
        <v>1997</v>
      </c>
      <c r="C13" s="14">
        <v>4.0498000000000003</v>
      </c>
      <c r="D13" s="15">
        <v>25.0594</v>
      </c>
      <c r="F13" s="7" t="s">
        <v>43</v>
      </c>
      <c r="G13" s="23">
        <v>27.1097383</v>
      </c>
      <c r="H13" s="8">
        <v>1</v>
      </c>
      <c r="I13" s="23">
        <v>27.1097383</v>
      </c>
      <c r="J13" s="8"/>
      <c r="K13" s="8">
        <v>34</v>
      </c>
      <c r="L13" s="9">
        <v>3.53</v>
      </c>
      <c r="M13" s="9">
        <v>6.9400000000000003E-2</v>
      </c>
      <c r="N13" s="24" t="s">
        <v>42</v>
      </c>
      <c r="O13" s="20">
        <v>4.0498000000000003</v>
      </c>
      <c r="P13" s="20">
        <v>5.3365999999999998</v>
      </c>
      <c r="Q13" s="21">
        <v>-1.2867999999999999</v>
      </c>
      <c r="R13" s="20">
        <v>1.6558999999999999</v>
      </c>
      <c r="S13" s="19" t="s">
        <v>26</v>
      </c>
    </row>
    <row r="14" spans="1:19" ht="15" customHeight="1" x14ac:dyDescent="0.3">
      <c r="A14" s="3" t="s">
        <v>44</v>
      </c>
      <c r="B14" s="4">
        <v>1998</v>
      </c>
      <c r="C14" s="5">
        <v>6.1844000000000001</v>
      </c>
      <c r="D14" s="6">
        <v>24.281400000000001</v>
      </c>
      <c r="F14" s="16" t="s">
        <v>45</v>
      </c>
      <c r="G14" s="25">
        <v>245.7132427</v>
      </c>
      <c r="H14" s="17">
        <v>32</v>
      </c>
      <c r="I14" s="25">
        <v>7.6785388000000001</v>
      </c>
      <c r="J14" s="17"/>
      <c r="K14" s="17"/>
      <c r="L14" s="17"/>
      <c r="M14" s="17"/>
      <c r="N14" s="10" t="s">
        <v>44</v>
      </c>
      <c r="O14" s="11">
        <v>6.1844000000000001</v>
      </c>
      <c r="P14" s="11">
        <v>5.1558000000000002</v>
      </c>
      <c r="Q14" s="11">
        <v>1.0286</v>
      </c>
      <c r="R14" s="11">
        <v>1.0580000000000001</v>
      </c>
      <c r="S14" s="10" t="s">
        <v>23</v>
      </c>
    </row>
    <row r="15" spans="1:19" ht="15" customHeight="1" x14ac:dyDescent="0.3">
      <c r="A15" s="12" t="s">
        <v>46</v>
      </c>
      <c r="B15" s="13">
        <v>1999</v>
      </c>
      <c r="C15" s="14">
        <v>8.8458000000000006</v>
      </c>
      <c r="D15" s="15">
        <v>23.815000000000001</v>
      </c>
      <c r="F15" s="7" t="s">
        <v>47</v>
      </c>
      <c r="G15" s="23">
        <v>272.82298100000003</v>
      </c>
      <c r="H15" s="8">
        <v>33</v>
      </c>
      <c r="I15" s="23">
        <v>8.2673631000000007</v>
      </c>
      <c r="J15" s="8"/>
      <c r="K15" s="8"/>
      <c r="L15" s="8"/>
      <c r="M15" s="8"/>
      <c r="N15" s="19" t="s">
        <v>46</v>
      </c>
      <c r="O15" s="20">
        <v>8.8458000000000006</v>
      </c>
      <c r="P15" s="20">
        <v>5.0473999999999997</v>
      </c>
      <c r="Q15" s="20">
        <v>3.7984</v>
      </c>
      <c r="R15" s="20">
        <v>14.4278</v>
      </c>
      <c r="S15" s="19" t="s">
        <v>23</v>
      </c>
    </row>
    <row r="16" spans="1:19" ht="15" customHeight="1" x14ac:dyDescent="0.3">
      <c r="A16" s="3" t="s">
        <v>48</v>
      </c>
      <c r="B16" s="4">
        <v>2000</v>
      </c>
      <c r="C16" s="5">
        <v>3.8410000000000002</v>
      </c>
      <c r="D16" s="6">
        <v>24.313199999999998</v>
      </c>
      <c r="N16" s="10" t="s">
        <v>48</v>
      </c>
      <c r="O16" s="11">
        <v>3.8410000000000002</v>
      </c>
      <c r="P16" s="11">
        <v>5.1631999999999998</v>
      </c>
      <c r="Q16" s="26">
        <v>-1.3222</v>
      </c>
      <c r="R16" s="11">
        <v>1.7482</v>
      </c>
      <c r="S16" s="10" t="s">
        <v>26</v>
      </c>
    </row>
    <row r="17" spans="1:19" ht="15" customHeight="1" x14ac:dyDescent="0.3">
      <c r="A17" s="12" t="s">
        <v>49</v>
      </c>
      <c r="B17" s="13">
        <v>2001</v>
      </c>
      <c r="C17" s="14">
        <v>4.8239999999999998</v>
      </c>
      <c r="D17" s="15">
        <v>24.091699999999999</v>
      </c>
      <c r="F17" s="43" t="s">
        <v>50</v>
      </c>
      <c r="G17" s="38"/>
      <c r="H17" s="38"/>
      <c r="I17" s="38"/>
      <c r="J17" s="38"/>
      <c r="K17" s="38"/>
      <c r="L17" s="38"/>
      <c r="N17" s="19" t="s">
        <v>49</v>
      </c>
      <c r="O17" s="20">
        <v>4.8239999999999998</v>
      </c>
      <c r="P17" s="20">
        <v>5.1116999999999999</v>
      </c>
      <c r="Q17" s="21">
        <v>-0.28770000000000001</v>
      </c>
      <c r="R17" s="20">
        <v>8.2799999999999999E-2</v>
      </c>
      <c r="S17" s="19" t="s">
        <v>26</v>
      </c>
    </row>
    <row r="18" spans="1:19" ht="19.95" customHeight="1" x14ac:dyDescent="0.3">
      <c r="A18" s="3" t="s">
        <v>51</v>
      </c>
      <c r="B18" s="4">
        <v>2002</v>
      </c>
      <c r="C18" s="5">
        <v>3.8039999999999998</v>
      </c>
      <c r="D18" s="6">
        <v>25.656300000000002</v>
      </c>
      <c r="F18" s="22" t="s">
        <v>9</v>
      </c>
      <c r="G18" s="22" t="s">
        <v>52</v>
      </c>
      <c r="H18" s="22" t="s">
        <v>53</v>
      </c>
      <c r="I18" s="22" t="s">
        <v>54</v>
      </c>
      <c r="J18" s="22" t="s">
        <v>55</v>
      </c>
      <c r="K18" s="22" t="s">
        <v>56</v>
      </c>
      <c r="L18" s="22" t="s">
        <v>57</v>
      </c>
      <c r="N18" s="10" t="s">
        <v>51</v>
      </c>
      <c r="O18" s="11">
        <v>3.8039999999999998</v>
      </c>
      <c r="P18" s="11">
        <v>5.4752999999999998</v>
      </c>
      <c r="Q18" s="26">
        <v>-1.6713</v>
      </c>
      <c r="R18" s="11">
        <v>2.7932999999999999</v>
      </c>
      <c r="S18" s="10" t="s">
        <v>26</v>
      </c>
    </row>
    <row r="19" spans="1:19" ht="15" customHeight="1" x14ac:dyDescent="0.3">
      <c r="A19" s="12" t="s">
        <v>58</v>
      </c>
      <c r="B19" s="13">
        <v>2003</v>
      </c>
      <c r="C19" s="14">
        <v>7.8604000000000003</v>
      </c>
      <c r="D19" s="15">
        <v>27.62</v>
      </c>
      <c r="F19" s="7" t="s">
        <v>59</v>
      </c>
      <c r="G19" s="9">
        <v>0.23239799999999999</v>
      </c>
      <c r="H19" s="9">
        <v>0.123682</v>
      </c>
      <c r="I19" s="9">
        <v>1.879</v>
      </c>
      <c r="J19" s="9">
        <v>6.9400000000000003E-2</v>
      </c>
      <c r="K19" s="9">
        <v>-1.9535E-2</v>
      </c>
      <c r="L19" s="9">
        <v>0.48432999999999998</v>
      </c>
      <c r="N19" s="19" t="s">
        <v>58</v>
      </c>
      <c r="O19" s="20">
        <v>7.8604000000000003</v>
      </c>
      <c r="P19" s="20">
        <v>5.9317000000000002</v>
      </c>
      <c r="Q19" s="20">
        <v>1.9287000000000001</v>
      </c>
      <c r="R19" s="20">
        <v>3.72</v>
      </c>
      <c r="S19" s="19" t="s">
        <v>23</v>
      </c>
    </row>
    <row r="20" spans="1:19" ht="15" customHeight="1" x14ac:dyDescent="0.3">
      <c r="A20" s="3" t="s">
        <v>60</v>
      </c>
      <c r="B20" s="4">
        <v>2004</v>
      </c>
      <c r="C20" s="5">
        <v>7.9229000000000003</v>
      </c>
      <c r="D20" s="6">
        <v>31.2437</v>
      </c>
      <c r="F20" s="16" t="s">
        <v>61</v>
      </c>
      <c r="G20" s="18">
        <v>-0.48714400000000002</v>
      </c>
      <c r="H20" s="18">
        <v>3.5410010000000001</v>
      </c>
      <c r="I20" s="18">
        <v>-0.13800000000000001</v>
      </c>
      <c r="J20" s="18">
        <v>0.89139999999999997</v>
      </c>
      <c r="K20" s="18">
        <v>-7.6999259999999996</v>
      </c>
      <c r="L20" s="18">
        <v>6.7256390000000001</v>
      </c>
      <c r="N20" s="10" t="s">
        <v>60</v>
      </c>
      <c r="O20" s="11">
        <v>7.9229000000000003</v>
      </c>
      <c r="P20" s="11">
        <v>6.7737999999999996</v>
      </c>
      <c r="Q20" s="11">
        <v>1.1491</v>
      </c>
      <c r="R20" s="11">
        <v>1.3204</v>
      </c>
      <c r="S20" s="10" t="s">
        <v>23</v>
      </c>
    </row>
    <row r="21" spans="1:19" ht="15" customHeight="1" x14ac:dyDescent="0.3">
      <c r="A21" s="12" t="s">
        <v>62</v>
      </c>
      <c r="B21" s="13">
        <v>2005</v>
      </c>
      <c r="C21" s="14">
        <v>7.9234</v>
      </c>
      <c r="D21" s="15">
        <v>32.255099999999999</v>
      </c>
      <c r="F21" s="45" t="s">
        <v>63</v>
      </c>
      <c r="G21" s="38"/>
      <c r="H21" s="38"/>
      <c r="I21" s="38"/>
      <c r="J21" s="38"/>
      <c r="K21" s="38"/>
      <c r="L21" s="38"/>
      <c r="N21" s="19" t="s">
        <v>62</v>
      </c>
      <c r="O21" s="20">
        <v>7.9234</v>
      </c>
      <c r="P21" s="20">
        <v>7.0088999999999997</v>
      </c>
      <c r="Q21" s="20">
        <v>0.91449999999999998</v>
      </c>
      <c r="R21" s="20">
        <v>0.83640000000000003</v>
      </c>
      <c r="S21" s="19" t="s">
        <v>23</v>
      </c>
    </row>
    <row r="22" spans="1:19" ht="15" customHeight="1" x14ac:dyDescent="0.3">
      <c r="A22" s="3" t="s">
        <v>64</v>
      </c>
      <c r="B22" s="4">
        <v>2006</v>
      </c>
      <c r="C22" s="5">
        <v>8.0607000000000006</v>
      </c>
      <c r="D22" s="6">
        <v>34.087600000000002</v>
      </c>
      <c r="N22" s="10" t="s">
        <v>64</v>
      </c>
      <c r="O22" s="11">
        <v>8.0607000000000006</v>
      </c>
      <c r="P22" s="11">
        <v>7.4347000000000003</v>
      </c>
      <c r="Q22" s="11">
        <v>0.626</v>
      </c>
      <c r="R22" s="11">
        <v>0.39179999999999998</v>
      </c>
      <c r="S22" s="10" t="s">
        <v>23</v>
      </c>
    </row>
    <row r="23" spans="1:19" ht="15" customHeight="1" x14ac:dyDescent="0.3">
      <c r="A23" s="12" t="s">
        <v>65</v>
      </c>
      <c r="B23" s="13">
        <v>2007</v>
      </c>
      <c r="C23" s="14">
        <v>7.6608000000000001</v>
      </c>
      <c r="D23" s="15">
        <v>34.377400000000002</v>
      </c>
      <c r="F23" s="39" t="s">
        <v>66</v>
      </c>
      <c r="G23" s="38"/>
      <c r="H23" s="38"/>
      <c r="I23" s="38"/>
      <c r="J23" s="38"/>
      <c r="K23" s="38"/>
      <c r="L23" s="38"/>
      <c r="N23" s="19" t="s">
        <v>65</v>
      </c>
      <c r="O23" s="20">
        <v>7.6608000000000001</v>
      </c>
      <c r="P23" s="20">
        <v>7.5021000000000004</v>
      </c>
      <c r="Q23" s="20">
        <v>0.15870000000000001</v>
      </c>
      <c r="R23" s="20">
        <v>2.52E-2</v>
      </c>
      <c r="S23" s="19" t="s">
        <v>23</v>
      </c>
    </row>
    <row r="24" spans="1:19" ht="15" customHeight="1" x14ac:dyDescent="0.3">
      <c r="A24" s="3" t="s">
        <v>67</v>
      </c>
      <c r="B24" s="4">
        <v>2008</v>
      </c>
      <c r="C24" s="5">
        <v>3.0867</v>
      </c>
      <c r="D24" s="6">
        <v>32.784700000000001</v>
      </c>
      <c r="F24" s="35" t="s">
        <v>68</v>
      </c>
      <c r="G24" s="36"/>
      <c r="H24" s="36"/>
      <c r="I24" s="36"/>
      <c r="J24" s="36"/>
      <c r="K24" s="36"/>
      <c r="L24" s="36"/>
      <c r="N24" s="10" t="s">
        <v>67</v>
      </c>
      <c r="O24" s="11">
        <v>3.0867</v>
      </c>
      <c r="P24" s="11">
        <v>7.1318999999999999</v>
      </c>
      <c r="Q24" s="26">
        <v>-4.0452000000000004</v>
      </c>
      <c r="R24" s="11">
        <v>16.364000000000001</v>
      </c>
      <c r="S24" s="10" t="s">
        <v>26</v>
      </c>
    </row>
    <row r="25" spans="1:19" ht="15" customHeight="1" x14ac:dyDescent="0.3">
      <c r="A25" s="12" t="s">
        <v>69</v>
      </c>
      <c r="B25" s="13">
        <v>2009</v>
      </c>
      <c r="C25" s="14">
        <v>7.8619000000000003</v>
      </c>
      <c r="D25" s="15">
        <v>32.580399999999997</v>
      </c>
      <c r="F25" s="28" t="s">
        <v>70</v>
      </c>
      <c r="G25" s="29">
        <v>-2.342638</v>
      </c>
      <c r="H25" s="27"/>
      <c r="I25" s="27"/>
      <c r="J25" s="27"/>
      <c r="K25" s="27"/>
      <c r="L25" s="27"/>
      <c r="N25" s="19" t="s">
        <v>69</v>
      </c>
      <c r="O25" s="20">
        <v>7.8619000000000003</v>
      </c>
      <c r="P25" s="20">
        <v>7.0845000000000002</v>
      </c>
      <c r="Q25" s="20">
        <v>0.77739999999999998</v>
      </c>
      <c r="R25" s="20">
        <v>0.60440000000000005</v>
      </c>
      <c r="S25" s="19" t="s">
        <v>23</v>
      </c>
    </row>
    <row r="26" spans="1:19" ht="15" customHeight="1" x14ac:dyDescent="0.3">
      <c r="A26" s="3" t="s">
        <v>71</v>
      </c>
      <c r="B26" s="4">
        <v>2010</v>
      </c>
      <c r="C26" s="5">
        <v>8.4976000000000003</v>
      </c>
      <c r="D26" s="6">
        <v>34.267499999999998</v>
      </c>
      <c r="F26" s="28" t="s">
        <v>72</v>
      </c>
      <c r="G26" s="29">
        <v>10.870763</v>
      </c>
      <c r="H26" s="27"/>
      <c r="I26" s="27"/>
      <c r="J26" s="27"/>
      <c r="K26" s="27"/>
      <c r="L26" s="27"/>
      <c r="N26" s="10" t="s">
        <v>71</v>
      </c>
      <c r="O26" s="11">
        <v>8.4976000000000003</v>
      </c>
      <c r="P26" s="11">
        <v>7.4764999999999997</v>
      </c>
      <c r="Q26" s="11">
        <v>1.0210999999999999</v>
      </c>
      <c r="R26" s="11">
        <v>1.0426</v>
      </c>
      <c r="S26" s="10" t="s">
        <v>23</v>
      </c>
    </row>
    <row r="27" spans="1:19" ht="15" customHeight="1" x14ac:dyDescent="0.3">
      <c r="A27" s="12" t="s">
        <v>73</v>
      </c>
      <c r="B27" s="13">
        <v>2011</v>
      </c>
      <c r="C27" s="14">
        <v>5.2412999999999998</v>
      </c>
      <c r="D27" s="15">
        <v>32.708300000000001</v>
      </c>
      <c r="F27" s="28" t="s">
        <v>74</v>
      </c>
      <c r="G27" s="29">
        <v>118.85936</v>
      </c>
      <c r="H27" s="27"/>
      <c r="I27" s="27"/>
      <c r="J27" s="27"/>
      <c r="K27" s="27"/>
      <c r="L27" s="27"/>
      <c r="N27" s="19" t="s">
        <v>73</v>
      </c>
      <c r="O27" s="20">
        <v>5.2412999999999998</v>
      </c>
      <c r="P27" s="20">
        <v>7.1142000000000003</v>
      </c>
      <c r="Q27" s="21">
        <v>-1.8729</v>
      </c>
      <c r="R27" s="20">
        <v>3.5076999999999998</v>
      </c>
      <c r="S27" s="19" t="s">
        <v>26</v>
      </c>
    </row>
    <row r="28" spans="1:19" ht="15" customHeight="1" x14ac:dyDescent="0.3">
      <c r="A28" s="3" t="s">
        <v>75</v>
      </c>
      <c r="B28" s="4">
        <v>2012</v>
      </c>
      <c r="C28" s="5">
        <v>5.4564000000000004</v>
      </c>
      <c r="D28" s="6">
        <v>32.855200000000004</v>
      </c>
      <c r="F28" s="28" t="s">
        <v>76</v>
      </c>
      <c r="G28" s="29" t="s">
        <v>77</v>
      </c>
      <c r="H28" s="27"/>
      <c r="I28" s="27"/>
      <c r="J28" s="27"/>
      <c r="K28" s="27"/>
      <c r="L28" s="27"/>
      <c r="N28" s="10" t="s">
        <v>75</v>
      </c>
      <c r="O28" s="11">
        <v>5.4564000000000004</v>
      </c>
      <c r="P28" s="11">
        <v>7.1482999999999999</v>
      </c>
      <c r="Q28" s="26">
        <v>-1.6919</v>
      </c>
      <c r="R28" s="11">
        <v>2.8626</v>
      </c>
      <c r="S28" s="10" t="s">
        <v>26</v>
      </c>
    </row>
    <row r="29" spans="1:19" ht="15" customHeight="1" x14ac:dyDescent="0.3">
      <c r="A29" s="12" t="s">
        <v>78</v>
      </c>
      <c r="B29" s="13">
        <v>2013</v>
      </c>
      <c r="C29" s="14">
        <v>6.3860999999999999</v>
      </c>
      <c r="D29" s="15">
        <v>32.059100000000001</v>
      </c>
      <c r="F29" s="42" t="s">
        <v>79</v>
      </c>
      <c r="G29" s="36"/>
      <c r="H29" s="36"/>
      <c r="I29" s="36"/>
      <c r="J29" s="36"/>
      <c r="K29" s="36"/>
      <c r="L29" s="36"/>
      <c r="N29" s="19" t="s">
        <v>78</v>
      </c>
      <c r="O29" s="20">
        <v>6.3860999999999999</v>
      </c>
      <c r="P29" s="20">
        <v>6.9633000000000003</v>
      </c>
      <c r="Q29" s="21">
        <v>-0.57720000000000005</v>
      </c>
      <c r="R29" s="20">
        <v>0.3332</v>
      </c>
      <c r="S29" s="19" t="s">
        <v>26</v>
      </c>
    </row>
    <row r="30" spans="1:19" ht="15" customHeight="1" x14ac:dyDescent="0.3">
      <c r="A30" s="3" t="s">
        <v>80</v>
      </c>
      <c r="B30" s="4">
        <v>2014</v>
      </c>
      <c r="C30" s="5">
        <v>7.4101999999999997</v>
      </c>
      <c r="D30" s="6">
        <v>31.4314</v>
      </c>
      <c r="N30" s="10" t="s">
        <v>80</v>
      </c>
      <c r="O30" s="11">
        <v>7.4101999999999997</v>
      </c>
      <c r="P30" s="11">
        <v>6.8174000000000001</v>
      </c>
      <c r="Q30" s="11">
        <v>0.59279999999999999</v>
      </c>
      <c r="R30" s="11">
        <v>0.35139999999999999</v>
      </c>
      <c r="S30" s="10" t="s">
        <v>23</v>
      </c>
    </row>
    <row r="31" spans="1:19" ht="15" customHeight="1" x14ac:dyDescent="0.3">
      <c r="A31" s="12" t="s">
        <v>81</v>
      </c>
      <c r="B31" s="13">
        <v>2015</v>
      </c>
      <c r="C31" s="14">
        <v>7.9962999999999997</v>
      </c>
      <c r="D31" s="15">
        <v>30.564399999999999</v>
      </c>
      <c r="F31" s="35" t="s">
        <v>82</v>
      </c>
      <c r="G31" s="36"/>
      <c r="H31" s="36"/>
      <c r="I31" s="36"/>
      <c r="J31" s="36"/>
      <c r="K31" s="36"/>
      <c r="L31" s="36"/>
      <c r="N31" s="19" t="s">
        <v>81</v>
      </c>
      <c r="O31" s="20">
        <v>7.9962999999999997</v>
      </c>
      <c r="P31" s="20">
        <v>6.6158999999999999</v>
      </c>
      <c r="Q31" s="20">
        <v>1.3804000000000001</v>
      </c>
      <c r="R31" s="20">
        <v>1.9054</v>
      </c>
      <c r="S31" s="19" t="s">
        <v>23</v>
      </c>
    </row>
    <row r="32" spans="1:19" ht="15" customHeight="1" x14ac:dyDescent="0.3">
      <c r="A32" s="3" t="s">
        <v>83</v>
      </c>
      <c r="B32" s="4">
        <v>2016</v>
      </c>
      <c r="C32" s="5">
        <v>8.2562999999999995</v>
      </c>
      <c r="D32" s="6">
        <v>30.3962</v>
      </c>
      <c r="F32" s="28" t="s">
        <v>84</v>
      </c>
      <c r="G32" s="30">
        <v>0.19189999999999999</v>
      </c>
      <c r="H32" s="27"/>
      <c r="I32" s="27"/>
      <c r="J32" s="27"/>
      <c r="K32" s="27"/>
      <c r="L32" s="27"/>
      <c r="N32" s="10" t="s">
        <v>83</v>
      </c>
      <c r="O32" s="11">
        <v>8.2562999999999995</v>
      </c>
      <c r="P32" s="11">
        <v>6.5769000000000002</v>
      </c>
      <c r="Q32" s="11">
        <v>1.6794</v>
      </c>
      <c r="R32" s="11">
        <v>2.8205</v>
      </c>
      <c r="S32" s="10" t="s">
        <v>23</v>
      </c>
    </row>
    <row r="33" spans="1:19" ht="15" customHeight="1" x14ac:dyDescent="0.3">
      <c r="A33" s="12" t="s">
        <v>85</v>
      </c>
      <c r="B33" s="13">
        <v>2017</v>
      </c>
      <c r="C33" s="14">
        <v>6.7953999999999999</v>
      </c>
      <c r="D33" s="15">
        <v>30.5077</v>
      </c>
      <c r="F33" s="28" t="s">
        <v>86</v>
      </c>
      <c r="G33" s="30">
        <v>0.6613</v>
      </c>
      <c r="H33" s="27"/>
      <c r="I33" s="27"/>
      <c r="J33" s="27"/>
      <c r="K33" s="27"/>
      <c r="L33" s="27"/>
      <c r="N33" s="19" t="s">
        <v>85</v>
      </c>
      <c r="O33" s="20">
        <v>6.7953999999999999</v>
      </c>
      <c r="P33" s="20">
        <v>6.6028000000000002</v>
      </c>
      <c r="Q33" s="20">
        <v>0.19259999999999999</v>
      </c>
      <c r="R33" s="20">
        <v>3.7100000000000001E-2</v>
      </c>
      <c r="S33" s="19" t="s">
        <v>23</v>
      </c>
    </row>
    <row r="34" spans="1:19" ht="15" customHeight="1" x14ac:dyDescent="0.3">
      <c r="A34" s="3" t="s">
        <v>87</v>
      </c>
      <c r="B34" s="4">
        <v>2018</v>
      </c>
      <c r="C34" s="5">
        <v>6.4539</v>
      </c>
      <c r="D34" s="6">
        <v>29.888500000000001</v>
      </c>
      <c r="F34" s="28" t="s">
        <v>88</v>
      </c>
      <c r="G34" s="30">
        <v>0.94730000000000003</v>
      </c>
      <c r="H34" s="27"/>
      <c r="I34" s="27"/>
      <c r="J34" s="27"/>
      <c r="K34" s="27"/>
      <c r="L34" s="27"/>
      <c r="N34" s="10" t="s">
        <v>87</v>
      </c>
      <c r="O34" s="11">
        <v>6.4539</v>
      </c>
      <c r="P34" s="11">
        <v>6.4588999999999999</v>
      </c>
      <c r="Q34" s="26">
        <v>-5.0000000000000001E-3</v>
      </c>
      <c r="R34" s="11">
        <v>0</v>
      </c>
      <c r="S34" s="10" t="s">
        <v>26</v>
      </c>
    </row>
    <row r="35" spans="1:19" ht="15" customHeight="1" x14ac:dyDescent="0.3">
      <c r="A35" s="12" t="s">
        <v>89</v>
      </c>
      <c r="B35" s="13">
        <v>2019</v>
      </c>
      <c r="C35" s="14">
        <v>3.8714</v>
      </c>
      <c r="D35" s="15">
        <v>28.085999999999999</v>
      </c>
      <c r="F35" s="28" t="s">
        <v>90</v>
      </c>
      <c r="G35" s="30">
        <v>0.33040000000000003</v>
      </c>
      <c r="H35" s="27"/>
      <c r="I35" s="27"/>
      <c r="J35" s="27"/>
      <c r="K35" s="27"/>
      <c r="L35" s="27"/>
      <c r="N35" s="19" t="s">
        <v>89</v>
      </c>
      <c r="O35" s="20">
        <v>3.8714</v>
      </c>
      <c r="P35" s="20">
        <v>6.04</v>
      </c>
      <c r="Q35" s="21">
        <v>-2.1686000000000001</v>
      </c>
      <c r="R35" s="20">
        <v>4.7027000000000001</v>
      </c>
      <c r="S35" s="19" t="s">
        <v>26</v>
      </c>
    </row>
    <row r="36" spans="1:19" ht="15" customHeight="1" x14ac:dyDescent="0.3">
      <c r="A36" s="3" t="s">
        <v>91</v>
      </c>
      <c r="B36" s="4">
        <v>2020</v>
      </c>
      <c r="C36" s="31">
        <v>-5.7777000000000003</v>
      </c>
      <c r="D36" s="6">
        <v>27.289400000000001</v>
      </c>
      <c r="F36" s="46" t="s">
        <v>92</v>
      </c>
      <c r="G36" s="36"/>
      <c r="H36" s="36"/>
      <c r="I36" s="36"/>
      <c r="J36" s="36"/>
      <c r="K36" s="36"/>
      <c r="L36" s="36"/>
      <c r="N36" s="10" t="s">
        <v>91</v>
      </c>
      <c r="O36" s="11">
        <v>-5.7777000000000003</v>
      </c>
      <c r="P36" s="11">
        <v>5.8548</v>
      </c>
      <c r="Q36" s="26">
        <v>-11.6325</v>
      </c>
      <c r="R36" s="11">
        <v>135.31610000000001</v>
      </c>
      <c r="S36" s="10" t="s">
        <v>26</v>
      </c>
    </row>
    <row r="37" spans="1:19" ht="15" customHeight="1" x14ac:dyDescent="0.3">
      <c r="A37" s="12" t="s">
        <v>93</v>
      </c>
      <c r="B37" s="13">
        <v>2021</v>
      </c>
      <c r="C37" s="14">
        <v>9.6896000000000004</v>
      </c>
      <c r="D37" s="15">
        <v>28.5732</v>
      </c>
      <c r="N37" s="19" t="s">
        <v>93</v>
      </c>
      <c r="O37" s="20">
        <v>9.6896000000000004</v>
      </c>
      <c r="P37" s="20">
        <v>6.1532</v>
      </c>
      <c r="Q37" s="20">
        <v>3.5364</v>
      </c>
      <c r="R37" s="20">
        <v>12.5061</v>
      </c>
      <c r="S37" s="19" t="s">
        <v>23</v>
      </c>
    </row>
    <row r="38" spans="1:19" ht="15" customHeight="1" x14ac:dyDescent="0.3">
      <c r="A38" s="3" t="s">
        <v>94</v>
      </c>
      <c r="B38" s="4">
        <v>2022</v>
      </c>
      <c r="C38" s="5">
        <v>7.6093999999999999</v>
      </c>
      <c r="D38" s="6">
        <v>28.281300000000002</v>
      </c>
      <c r="F38" s="35" t="s">
        <v>95</v>
      </c>
      <c r="G38" s="36"/>
      <c r="H38" s="36"/>
      <c r="I38" s="36"/>
      <c r="J38" s="36"/>
      <c r="K38" s="36"/>
      <c r="L38" s="36"/>
      <c r="N38" s="10" t="s">
        <v>94</v>
      </c>
      <c r="O38" s="11">
        <v>7.6093999999999999</v>
      </c>
      <c r="P38" s="11">
        <v>6.0853999999999999</v>
      </c>
      <c r="Q38" s="11">
        <v>1.524</v>
      </c>
      <c r="R38" s="11">
        <v>2.3227000000000002</v>
      </c>
      <c r="S38" s="10" t="s">
        <v>23</v>
      </c>
    </row>
    <row r="39" spans="1:19" ht="15" customHeight="1" x14ac:dyDescent="0.3">
      <c r="A39" s="12" t="s">
        <v>96</v>
      </c>
      <c r="B39" s="13">
        <v>2023</v>
      </c>
      <c r="C39" s="14">
        <v>9.1907999999999994</v>
      </c>
      <c r="D39" s="15">
        <v>29.506499999999999</v>
      </c>
      <c r="F39" s="28" t="s">
        <v>97</v>
      </c>
      <c r="G39" s="29">
        <v>2.0899999999999998E-2</v>
      </c>
      <c r="H39" s="27"/>
      <c r="I39" s="27"/>
      <c r="J39" s="27"/>
      <c r="K39" s="27"/>
      <c r="L39" s="27"/>
      <c r="N39" s="19" t="s">
        <v>96</v>
      </c>
      <c r="O39" s="20">
        <v>9.1907999999999994</v>
      </c>
      <c r="P39" s="20">
        <v>6.3700999999999999</v>
      </c>
      <c r="Q39" s="20">
        <v>2.8207</v>
      </c>
      <c r="R39" s="20">
        <v>7.9564000000000004</v>
      </c>
      <c r="S39" s="19" t="s">
        <v>23</v>
      </c>
    </row>
    <row r="40" spans="1:19" ht="15" customHeight="1" x14ac:dyDescent="0.3">
      <c r="A40" s="47" t="s">
        <v>98</v>
      </c>
      <c r="B40" s="36"/>
      <c r="C40" s="27"/>
      <c r="D40" s="27"/>
      <c r="F40" s="28" t="s">
        <v>99</v>
      </c>
      <c r="G40" s="29">
        <v>0.8851</v>
      </c>
      <c r="H40" s="27"/>
      <c r="I40" s="27"/>
      <c r="J40" s="27"/>
      <c r="K40" s="27"/>
      <c r="L40" s="27"/>
    </row>
    <row r="41" spans="1:19" ht="15" customHeight="1" x14ac:dyDescent="0.3">
      <c r="F41" s="28" t="s">
        <v>100</v>
      </c>
      <c r="G41" s="29">
        <v>21</v>
      </c>
      <c r="H41" s="27"/>
      <c r="I41" s="27"/>
      <c r="J41" s="27"/>
      <c r="K41" s="27"/>
      <c r="L41" s="27"/>
    </row>
    <row r="42" spans="1:19" ht="15" customHeight="1" x14ac:dyDescent="0.3">
      <c r="F42" s="28" t="s">
        <v>101</v>
      </c>
      <c r="G42" s="29">
        <v>13</v>
      </c>
      <c r="H42" s="27"/>
      <c r="I42" s="27"/>
      <c r="J42" s="27"/>
      <c r="K42" s="27"/>
      <c r="L42" s="27"/>
    </row>
    <row r="43" spans="1:19" ht="15" customHeight="1" x14ac:dyDescent="0.3">
      <c r="F43" s="28" t="s">
        <v>102</v>
      </c>
      <c r="G43" s="29">
        <v>15</v>
      </c>
      <c r="H43" s="27"/>
      <c r="I43" s="27"/>
      <c r="J43" s="27"/>
      <c r="K43" s="27"/>
      <c r="L43" s="27"/>
    </row>
    <row r="44" spans="1:19" ht="15" customHeight="1" x14ac:dyDescent="0.3">
      <c r="F44" s="28" t="s">
        <v>103</v>
      </c>
      <c r="G44" s="29">
        <v>17.100000000000001</v>
      </c>
      <c r="H44" s="27"/>
      <c r="I44" s="27"/>
      <c r="J44" s="27"/>
      <c r="K44" s="27"/>
      <c r="L44" s="27"/>
      <c r="N44" s="41" t="s">
        <v>104</v>
      </c>
      <c r="O44" s="38"/>
      <c r="P44" s="38"/>
      <c r="Q44" s="38"/>
      <c r="R44" s="38"/>
      <c r="S44" s="38"/>
    </row>
    <row r="45" spans="1:19" ht="15" customHeight="1" x14ac:dyDescent="0.3">
      <c r="F45" s="28" t="s">
        <v>105</v>
      </c>
      <c r="G45" s="29">
        <v>2.7069999999999999</v>
      </c>
      <c r="H45" s="27"/>
      <c r="I45" s="27"/>
      <c r="J45" s="27"/>
      <c r="K45" s="27"/>
      <c r="L45" s="27"/>
      <c r="N45" s="32" t="s">
        <v>106</v>
      </c>
      <c r="O45" s="32" t="s">
        <v>107</v>
      </c>
      <c r="P45" s="48" t="s">
        <v>108</v>
      </c>
      <c r="Q45" s="38"/>
    </row>
    <row r="46" spans="1:19" ht="15" customHeight="1" x14ac:dyDescent="0.3">
      <c r="F46" s="28" t="s">
        <v>109</v>
      </c>
      <c r="G46" s="29">
        <v>-0.76049999999999995</v>
      </c>
      <c r="H46" s="27"/>
      <c r="I46" s="27"/>
      <c r="J46" s="27"/>
      <c r="K46" s="27"/>
      <c r="L46" s="27"/>
      <c r="N46" s="33" t="s">
        <v>110</v>
      </c>
      <c r="O46" s="33" t="s">
        <v>111</v>
      </c>
      <c r="P46" s="40" t="s">
        <v>112</v>
      </c>
      <c r="Q46" s="38"/>
    </row>
    <row r="47" spans="1:19" ht="15" customHeight="1" x14ac:dyDescent="0.3">
      <c r="F47" s="28" t="s">
        <v>113</v>
      </c>
      <c r="G47" s="29">
        <v>2.0123000000000002</v>
      </c>
      <c r="H47" s="27"/>
      <c r="I47" s="27"/>
      <c r="J47" s="27"/>
      <c r="K47" s="27"/>
      <c r="L47" s="27"/>
      <c r="N47" s="34" t="s">
        <v>114</v>
      </c>
      <c r="O47" s="34" t="s">
        <v>115</v>
      </c>
      <c r="P47" s="37" t="s">
        <v>116</v>
      </c>
      <c r="Q47" s="38"/>
    </row>
    <row r="48" spans="1:19" ht="15" customHeight="1" x14ac:dyDescent="0.3">
      <c r="F48" s="28" t="s">
        <v>117</v>
      </c>
      <c r="G48" s="29">
        <v>1.393</v>
      </c>
      <c r="H48" s="27"/>
      <c r="I48" s="27"/>
      <c r="J48" s="27"/>
      <c r="K48" s="27"/>
      <c r="L48" s="27"/>
      <c r="N48" s="33" t="s">
        <v>118</v>
      </c>
      <c r="O48" s="33" t="s">
        <v>119</v>
      </c>
      <c r="P48" s="40" t="s">
        <v>116</v>
      </c>
      <c r="Q48" s="38"/>
    </row>
    <row r="49" spans="6:17" ht="15" customHeight="1" x14ac:dyDescent="0.3">
      <c r="F49" s="28" t="s">
        <v>120</v>
      </c>
      <c r="G49" s="29">
        <v>1.514</v>
      </c>
      <c r="H49" s="27"/>
      <c r="I49" s="27"/>
      <c r="J49" s="27"/>
      <c r="K49" s="27"/>
      <c r="L49" s="27"/>
      <c r="N49" s="34" t="s">
        <v>121</v>
      </c>
      <c r="O49" s="34" t="s">
        <v>122</v>
      </c>
      <c r="P49" s="37" t="s">
        <v>123</v>
      </c>
      <c r="Q49" s="38"/>
    </row>
    <row r="50" spans="6:17" ht="15" customHeight="1" x14ac:dyDescent="0.3">
      <c r="F50" s="46" t="s">
        <v>124</v>
      </c>
      <c r="G50" s="36"/>
      <c r="H50" s="36"/>
      <c r="I50" s="36"/>
      <c r="J50" s="36"/>
      <c r="K50" s="36"/>
      <c r="L50" s="36"/>
      <c r="N50" s="33" t="s">
        <v>125</v>
      </c>
      <c r="O50" s="33" t="s">
        <v>126</v>
      </c>
      <c r="P50" s="40" t="s">
        <v>123</v>
      </c>
      <c r="Q50" s="38"/>
    </row>
    <row r="51" spans="6:17" ht="15" customHeight="1" x14ac:dyDescent="0.3">
      <c r="N51" s="34" t="s">
        <v>127</v>
      </c>
      <c r="O51" s="34" t="s">
        <v>128</v>
      </c>
      <c r="P51" s="37" t="s">
        <v>123</v>
      </c>
      <c r="Q51" s="38"/>
    </row>
    <row r="52" spans="6:17" ht="15" customHeight="1" x14ac:dyDescent="0.3">
      <c r="F52" s="39" t="s">
        <v>129</v>
      </c>
      <c r="G52" s="38"/>
      <c r="H52" s="38"/>
      <c r="I52" s="38"/>
      <c r="J52" s="38"/>
      <c r="K52" s="38"/>
      <c r="L52" s="38"/>
      <c r="N52" s="33" t="s">
        <v>130</v>
      </c>
      <c r="O52" s="33" t="s">
        <v>131</v>
      </c>
      <c r="P52" s="40" t="s">
        <v>132</v>
      </c>
      <c r="Q52" s="38"/>
    </row>
    <row r="53" spans="6:17" ht="15" customHeight="1" x14ac:dyDescent="0.3">
      <c r="F53" t="s">
        <v>133</v>
      </c>
      <c r="G53" t="s">
        <v>134</v>
      </c>
      <c r="H53" t="s">
        <v>133</v>
      </c>
      <c r="I53" t="s">
        <v>135</v>
      </c>
    </row>
    <row r="54" spans="6:17" ht="15" customHeight="1" x14ac:dyDescent="0.3">
      <c r="F54">
        <v>21.639399999999998</v>
      </c>
      <c r="G54">
        <v>5.5335000000000001</v>
      </c>
      <c r="H54">
        <v>21.639399999999998</v>
      </c>
      <c r="I54">
        <v>4.5418000000000003</v>
      </c>
    </row>
    <row r="55" spans="6:17" ht="15" customHeight="1" x14ac:dyDescent="0.3">
      <c r="F55">
        <v>21.903199999999998</v>
      </c>
      <c r="G55">
        <v>1.0568</v>
      </c>
      <c r="H55">
        <v>21.903199999999998</v>
      </c>
      <c r="I55">
        <v>4.6031000000000004</v>
      </c>
    </row>
    <row r="56" spans="6:17" ht="15" customHeight="1" x14ac:dyDescent="0.3">
      <c r="F56">
        <v>23.340599999999998</v>
      </c>
      <c r="G56">
        <v>5.4824000000000002</v>
      </c>
      <c r="H56">
        <v>23.340599999999998</v>
      </c>
      <c r="I56">
        <v>4.9371999999999998</v>
      </c>
    </row>
    <row r="57" spans="6:17" ht="15" customHeight="1" x14ac:dyDescent="0.3">
      <c r="F57">
        <v>23.5458</v>
      </c>
      <c r="G57">
        <v>4.7507999999999999</v>
      </c>
      <c r="H57">
        <v>23.5458</v>
      </c>
      <c r="I57">
        <v>4.9847999999999999</v>
      </c>
    </row>
    <row r="58" spans="6:17" ht="15" customHeight="1" x14ac:dyDescent="0.3">
      <c r="F58">
        <v>24.723299999999998</v>
      </c>
      <c r="G58">
        <v>6.6589</v>
      </c>
      <c r="H58">
        <v>23.815000000000001</v>
      </c>
      <c r="I58">
        <v>5.0473999999999997</v>
      </c>
    </row>
    <row r="59" spans="6:17" ht="15" customHeight="1" x14ac:dyDescent="0.3">
      <c r="F59">
        <v>25.7593</v>
      </c>
      <c r="G59">
        <v>7.5744999999999996</v>
      </c>
      <c r="H59">
        <v>24.091699999999999</v>
      </c>
      <c r="I59">
        <v>5.1116999999999999</v>
      </c>
    </row>
    <row r="60" spans="6:17" x14ac:dyDescent="0.3">
      <c r="F60">
        <v>25.113900000000001</v>
      </c>
      <c r="G60">
        <v>7.5495000000000001</v>
      </c>
      <c r="H60">
        <v>24.281400000000001</v>
      </c>
      <c r="I60">
        <v>5.1558000000000002</v>
      </c>
    </row>
    <row r="61" spans="6:17" x14ac:dyDescent="0.3">
      <c r="F61">
        <v>25.0594</v>
      </c>
      <c r="G61">
        <v>4.0498000000000003</v>
      </c>
      <c r="H61">
        <v>24.313199999999998</v>
      </c>
      <c r="I61">
        <v>5.1631999999999998</v>
      </c>
    </row>
    <row r="62" spans="6:17" x14ac:dyDescent="0.3">
      <c r="F62">
        <v>24.281400000000001</v>
      </c>
      <c r="G62">
        <v>6.1844000000000001</v>
      </c>
      <c r="H62">
        <v>24.723299999999998</v>
      </c>
      <c r="I62">
        <v>5.2584999999999997</v>
      </c>
    </row>
    <row r="63" spans="6:17" x14ac:dyDescent="0.3">
      <c r="F63">
        <v>23.815000000000001</v>
      </c>
      <c r="G63">
        <v>8.8458000000000006</v>
      </c>
      <c r="H63">
        <v>25.0594</v>
      </c>
      <c r="I63">
        <v>5.3365999999999998</v>
      </c>
    </row>
    <row r="64" spans="6:17" x14ac:dyDescent="0.3">
      <c r="F64">
        <v>24.313199999999998</v>
      </c>
      <c r="G64">
        <v>3.8410000000000002</v>
      </c>
      <c r="H64">
        <v>25.113900000000001</v>
      </c>
      <c r="I64">
        <v>5.3493000000000004</v>
      </c>
    </row>
    <row r="65" spans="6:9" x14ac:dyDescent="0.3">
      <c r="F65">
        <v>24.091699999999999</v>
      </c>
      <c r="G65">
        <v>4.8239999999999998</v>
      </c>
      <c r="H65">
        <v>25.656300000000002</v>
      </c>
      <c r="I65">
        <v>5.4752999999999998</v>
      </c>
    </row>
    <row r="66" spans="6:9" x14ac:dyDescent="0.3">
      <c r="F66">
        <v>25.656300000000002</v>
      </c>
      <c r="G66">
        <v>3.8039999999999998</v>
      </c>
      <c r="H66">
        <v>25.7593</v>
      </c>
      <c r="I66">
        <v>5.4992999999999999</v>
      </c>
    </row>
    <row r="67" spans="6:9" x14ac:dyDescent="0.3">
      <c r="F67">
        <v>27.62</v>
      </c>
      <c r="G67">
        <v>7.8604000000000003</v>
      </c>
      <c r="H67">
        <v>27.289400000000001</v>
      </c>
      <c r="I67">
        <v>5.8548</v>
      </c>
    </row>
    <row r="68" spans="6:9" x14ac:dyDescent="0.3">
      <c r="F68">
        <v>31.2437</v>
      </c>
      <c r="G68">
        <v>7.9229000000000003</v>
      </c>
      <c r="H68">
        <v>27.62</v>
      </c>
      <c r="I68">
        <v>5.9317000000000002</v>
      </c>
    </row>
    <row r="69" spans="6:9" x14ac:dyDescent="0.3">
      <c r="F69">
        <v>32.255099999999999</v>
      </c>
      <c r="G69">
        <v>7.9234</v>
      </c>
      <c r="H69">
        <v>28.085999999999999</v>
      </c>
      <c r="I69">
        <v>6.04</v>
      </c>
    </row>
    <row r="70" spans="6:9" x14ac:dyDescent="0.3">
      <c r="F70">
        <v>34.087600000000002</v>
      </c>
      <c r="G70">
        <v>8.0607000000000006</v>
      </c>
      <c r="H70">
        <v>28.281300000000002</v>
      </c>
      <c r="I70">
        <v>6.0853999999999999</v>
      </c>
    </row>
    <row r="71" spans="6:9" x14ac:dyDescent="0.3">
      <c r="F71">
        <v>34.377400000000002</v>
      </c>
      <c r="G71">
        <v>7.6608000000000001</v>
      </c>
      <c r="H71">
        <v>28.5732</v>
      </c>
      <c r="I71">
        <v>6.1532</v>
      </c>
    </row>
    <row r="72" spans="6:9" x14ac:dyDescent="0.3">
      <c r="F72">
        <v>32.784700000000001</v>
      </c>
      <c r="G72">
        <v>3.0867</v>
      </c>
      <c r="H72">
        <v>29.506499999999999</v>
      </c>
      <c r="I72">
        <v>6.3700999999999999</v>
      </c>
    </row>
    <row r="73" spans="6:9" x14ac:dyDescent="0.3">
      <c r="F73">
        <v>32.580399999999997</v>
      </c>
      <c r="G73">
        <v>7.8619000000000003</v>
      </c>
      <c r="H73">
        <v>29.888500000000001</v>
      </c>
      <c r="I73">
        <v>6.4588999999999999</v>
      </c>
    </row>
    <row r="74" spans="6:9" x14ac:dyDescent="0.3">
      <c r="F74">
        <v>34.267499999999998</v>
      </c>
      <c r="G74">
        <v>8.4976000000000003</v>
      </c>
      <c r="H74">
        <v>30.3962</v>
      </c>
      <c r="I74">
        <v>6.5769000000000002</v>
      </c>
    </row>
    <row r="75" spans="6:9" x14ac:dyDescent="0.3">
      <c r="F75">
        <v>32.708300000000001</v>
      </c>
      <c r="G75">
        <v>5.2412999999999998</v>
      </c>
      <c r="H75">
        <v>30.5077</v>
      </c>
      <c r="I75">
        <v>6.6028000000000002</v>
      </c>
    </row>
    <row r="76" spans="6:9" x14ac:dyDescent="0.3">
      <c r="F76">
        <v>32.855200000000004</v>
      </c>
      <c r="G76">
        <v>5.4564000000000004</v>
      </c>
      <c r="H76">
        <v>30.564399999999999</v>
      </c>
      <c r="I76">
        <v>6.6158999999999999</v>
      </c>
    </row>
    <row r="77" spans="6:9" x14ac:dyDescent="0.3">
      <c r="F77">
        <v>32.059100000000001</v>
      </c>
      <c r="G77">
        <v>6.3860999999999999</v>
      </c>
      <c r="H77">
        <v>31.2437</v>
      </c>
      <c r="I77">
        <v>6.7737999999999996</v>
      </c>
    </row>
    <row r="78" spans="6:9" x14ac:dyDescent="0.3">
      <c r="F78">
        <v>31.4314</v>
      </c>
      <c r="G78">
        <v>7.4101999999999997</v>
      </c>
      <c r="H78">
        <v>31.4314</v>
      </c>
      <c r="I78">
        <v>6.8174000000000001</v>
      </c>
    </row>
    <row r="79" spans="6:9" x14ac:dyDescent="0.3">
      <c r="F79">
        <v>30.564399999999999</v>
      </c>
      <c r="G79">
        <v>7.9962999999999997</v>
      </c>
      <c r="H79">
        <v>32.059100000000001</v>
      </c>
      <c r="I79">
        <v>6.9633000000000003</v>
      </c>
    </row>
    <row r="80" spans="6:9" x14ac:dyDescent="0.3">
      <c r="F80">
        <v>30.3962</v>
      </c>
      <c r="G80">
        <v>8.2562999999999995</v>
      </c>
      <c r="H80">
        <v>32.255099999999999</v>
      </c>
      <c r="I80">
        <v>7.0088999999999997</v>
      </c>
    </row>
    <row r="81" spans="6:9" x14ac:dyDescent="0.3">
      <c r="F81">
        <v>30.5077</v>
      </c>
      <c r="G81">
        <v>6.7953999999999999</v>
      </c>
      <c r="H81">
        <v>32.580399999999997</v>
      </c>
      <c r="I81">
        <v>7.0845000000000002</v>
      </c>
    </row>
    <row r="82" spans="6:9" x14ac:dyDescent="0.3">
      <c r="F82">
        <v>29.888500000000001</v>
      </c>
      <c r="G82">
        <v>6.4539</v>
      </c>
      <c r="H82">
        <v>32.708300000000001</v>
      </c>
      <c r="I82">
        <v>7.1142000000000003</v>
      </c>
    </row>
    <row r="83" spans="6:9" x14ac:dyDescent="0.3">
      <c r="F83">
        <v>28.085999999999999</v>
      </c>
      <c r="G83">
        <v>3.8714</v>
      </c>
      <c r="H83">
        <v>32.784700000000001</v>
      </c>
      <c r="I83">
        <v>7.1318999999999999</v>
      </c>
    </row>
    <row r="84" spans="6:9" x14ac:dyDescent="0.3">
      <c r="F84">
        <v>27.289400000000001</v>
      </c>
      <c r="G84">
        <v>-5.7777000000000003</v>
      </c>
      <c r="H84">
        <v>32.855200000000004</v>
      </c>
      <c r="I84">
        <v>7.1482999999999999</v>
      </c>
    </row>
    <row r="85" spans="6:9" x14ac:dyDescent="0.3">
      <c r="F85">
        <v>28.5732</v>
      </c>
      <c r="G85">
        <v>9.6896000000000004</v>
      </c>
      <c r="H85">
        <v>34.087600000000002</v>
      </c>
      <c r="I85">
        <v>7.4347000000000003</v>
      </c>
    </row>
    <row r="86" spans="6:9" x14ac:dyDescent="0.3">
      <c r="F86">
        <v>28.281300000000002</v>
      </c>
      <c r="G86">
        <v>7.6093999999999999</v>
      </c>
      <c r="H86">
        <v>34.267499999999998</v>
      </c>
      <c r="I86">
        <v>7.4764999999999997</v>
      </c>
    </row>
    <row r="87" spans="6:9" x14ac:dyDescent="0.3">
      <c r="F87">
        <v>29.506499999999999</v>
      </c>
      <c r="G87">
        <v>9.1907999999999994</v>
      </c>
      <c r="H87">
        <v>34.377400000000002</v>
      </c>
      <c r="I87">
        <v>7.5021000000000004</v>
      </c>
    </row>
  </sheetData>
  <mergeCells count="27">
    <mergeCell ref="A1:S1"/>
    <mergeCell ref="F21:L21"/>
    <mergeCell ref="F24:L24"/>
    <mergeCell ref="N4:S4"/>
    <mergeCell ref="P47:Q47"/>
    <mergeCell ref="F38:L38"/>
    <mergeCell ref="F36:L36"/>
    <mergeCell ref="F17:L17"/>
    <mergeCell ref="A40:B40"/>
    <mergeCell ref="P45:Q45"/>
    <mergeCell ref="A2:S2"/>
    <mergeCell ref="F23:L23"/>
    <mergeCell ref="F31:L31"/>
    <mergeCell ref="P51:Q51"/>
    <mergeCell ref="A4:D4"/>
    <mergeCell ref="F52:L52"/>
    <mergeCell ref="P50:Q50"/>
    <mergeCell ref="N44:S44"/>
    <mergeCell ref="P52:Q52"/>
    <mergeCell ref="P46:Q46"/>
    <mergeCell ref="F4:L4"/>
    <mergeCell ref="F29:L29"/>
    <mergeCell ref="F11:L11"/>
    <mergeCell ref="P49:Q49"/>
    <mergeCell ref="F10:L10"/>
    <mergeCell ref="P48:Q48"/>
    <mergeCell ref="F50:L50"/>
  </mergeCells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Regression Analysis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Kishan Kumar</cp:lastModifiedBy>
  <dcterms:created xsi:type="dcterms:W3CDTF">2026-04-12T12:23:39Z</dcterms:created>
  <dcterms:modified xsi:type="dcterms:W3CDTF">2026-04-12T14:51:37Z</dcterms:modified>
</cp:coreProperties>
</file>